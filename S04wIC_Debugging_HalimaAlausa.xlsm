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8_{F1C7CE17-D3C3-4239-A96A-BD0F8E9E4FB1}" xr6:coauthVersionLast="47" xr6:coauthVersionMax="47" xr10:uidLastSave="{00000000-0000-0000-0000-000000000000}"/>
  <bookViews>
    <workbookView xWindow="-110" yWindow="-110" windowWidth="19420" windowHeight="11500" firstSheet="2" activeTab="5" xr2:uid="{00000000-000D-0000-FFFF-FFFF00000000}"/>
  </bookViews>
  <sheets>
    <sheet name="StartHere" sheetId="1" r:id="rId1"/>
    <sheet name="CCmeeting" sheetId="36" state="veryHidden" r:id="rId2"/>
    <sheet name="W1" sheetId="35" r:id="rId3"/>
    <sheet name="AutoPointPenalty" sheetId="38" state="veryHidden" r:id="rId4"/>
    <sheet name="CommonErrors" sheetId="34" r:id="rId5"/>
    <sheet name="IC1" sheetId="41" r:id="rId6"/>
    <sheet name="peachtree_tenant_data" sheetId="39" r:id="rId7"/>
    <sheet name="ptd_data_dictionary" sheetId="40" r:id="rId8"/>
    <sheet name="5.ID" sheetId="4" state="veryHidden" r:id="rId9"/>
    <sheet name="Sheet9" sheetId="33" state="veryHidden" r:id="rId10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T" hidden="1" xlm="1">#NAME?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41" l="1"/>
  <c r="D4" i="41"/>
  <c r="B23" i="35"/>
  <c r="B22" i="35"/>
  <c r="B21" i="35"/>
  <c r="B20" i="35"/>
  <c r="B19" i="35"/>
  <c r="B16" i="35"/>
  <c r="B14" i="35"/>
  <c r="B10" i="35"/>
  <c r="B13" i="35" s="1"/>
  <c r="B7" i="35"/>
  <c r="B18" i="35"/>
  <c r="B15" i="35"/>
  <c r="B12" i="35"/>
  <c r="B11" i="35"/>
  <c r="B9" i="35"/>
  <c r="B8" i="35"/>
  <c r="B6" i="35"/>
  <c r="B5" i="35"/>
  <c r="B4" i="35"/>
  <c r="C14" i="1"/>
  <c r="C13" i="1" a="1"/>
  <c r="C13" i="1" s="1"/>
  <c r="C15" i="1" s="1"/>
  <c r="D13" i="35" a="1"/>
  <c r="D13" i="35" s="1"/>
  <c r="D14" i="35" a="1"/>
  <c r="D14" i="35" s="1"/>
  <c r="E13" i="35" l="1"/>
  <c r="D16" i="35" a="1"/>
  <c r="D16" i="35" s="1"/>
  <c r="E11" i="35" l="1"/>
  <c r="E5" i="35"/>
  <c r="E16" i="35"/>
  <c r="E15" i="35"/>
  <c r="E14" i="35"/>
  <c r="E12" i="35"/>
  <c r="E10" i="35"/>
  <c r="E9" i="35"/>
  <c r="E8" i="35"/>
  <c r="E7" i="35"/>
  <c r="E6" i="35"/>
  <c r="D5" i="35"/>
  <c r="C18" i="1"/>
  <c r="C16" i="1" s="1"/>
  <c r="C17" i="1"/>
  <c r="D10" i="35" a="1"/>
  <c r="D10" i="35" s="1"/>
  <c r="D4" i="35"/>
  <c r="D6" i="35"/>
  <c r="D7" i="35" a="1"/>
  <c r="D7" i="35" s="1"/>
  <c r="D8" i="35" a="1"/>
  <c r="D8" i="35" s="1"/>
  <c r="D9" i="35" a="1"/>
  <c r="D9" i="35" s="1"/>
  <c r="D11" i="35"/>
  <c r="D12" i="35" a="1"/>
  <c r="D12" i="35" s="1"/>
  <c r="D15" i="35"/>
  <c r="A1" i="36"/>
  <c r="C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 Schmitz</author>
  </authors>
  <commentList>
    <comment ref="E4" authorId="0" shapeId="0" xr:uid="{D5B7BA89-FF26-4136-9FE7-91AB6991C4B5}">
      <text>
        <r>
          <rPr>
            <sz val="9"/>
            <color indexed="81"/>
            <rFont val="Tahoma"/>
            <family val="2"/>
          </rPr>
          <t>The cell will not tell you if you have the correct answer for this task.</t>
        </r>
      </text>
    </comment>
    <comment ref="D18" authorId="0" shapeId="0" xr:uid="{68FF6C95-945B-4E79-A6D3-97B603F168F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18" authorId="0" shapeId="0" xr:uid="{B231F322-A6F6-40C9-9C0F-BB33EE95A87D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19" authorId="0" shapeId="0" xr:uid="{49541EEB-8826-4A5D-B408-2AD3A0EE53B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19" authorId="0" shapeId="0" xr:uid="{6E14999F-C24B-41E8-ADBB-FDE3AB284A01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0" authorId="0" shapeId="0" xr:uid="{E33EB9E9-DC4A-4B0D-9E53-BB1A2B2FE837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0" authorId="0" shapeId="0" xr:uid="{140D6543-7608-4BF9-8EDA-2447CD676D46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1" authorId="0" shapeId="0" xr:uid="{EABC5EDB-9E00-4E6C-9676-06CAA427AFD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1" authorId="0" shapeId="0" xr:uid="{C50EA55E-41B6-4B7E-8548-9E9B28A15FCB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2" authorId="0" shapeId="0" xr:uid="{CC7D5674-6911-41A0-969B-306A2323000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2" authorId="0" shapeId="0" xr:uid="{388F3342-61F3-407F-97F3-828478C22223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D23" authorId="0" shapeId="0" xr:uid="{F89A9E8E-ED25-413D-8B94-816BC58FA950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  <comment ref="E23" authorId="0" shapeId="0" xr:uid="{BD0EBD3D-F701-468D-87D6-BE0AC88FFB66}">
      <text>
        <r>
          <rPr>
            <sz val="9"/>
            <color indexed="81"/>
            <rFont val="Tahoma"/>
            <family val="2"/>
          </rPr>
          <t>From this point down the drop-down help for diagnosis and solution check is not available.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<sst xmlns="http://schemas.openxmlformats.org/spreadsheetml/2006/main" count="12379" uniqueCount="1482">
  <si>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</si>
  <si>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</si>
  <si>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</si>
  <si>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</si>
  <si>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</si>
  <si>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</si>
  <si>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</si>
  <si>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</si>
  <si>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</si>
  <si>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</si>
  <si>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</si>
  <si>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</si>
  <si>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Never use a file created or started by another student (that is academic dishonesty).
All text, codes, writing, data entry, formulas, configuration and instructions must be performed by the individual submitting the work.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</si>
  <si>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</si>
  <si>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</si>
  <si>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</si>
  <si>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</si>
  <si>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</si>
  <si>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</si>
  <si>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</si>
  <si>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</si>
  <si>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</si>
  <si>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Common Errors</t>
  </si>
  <si>
    <t>Description</t>
  </si>
  <si>
    <t>wrong function</t>
  </si>
  <si>
    <t>boundary condition</t>
  </si>
  <si>
    <t>other</t>
  </si>
  <si>
    <t>correct answer</t>
  </si>
  <si>
    <t>Task</t>
  </si>
  <si>
    <t>Formula</t>
  </si>
  <si>
    <t>display current date</t>
  </si>
  <si>
    <t>syntax error</t>
  </si>
  <si>
    <t>Incorrect, missing or extra punctuation such as commas, periods, quotes</t>
  </si>
  <si>
    <t>argument error</t>
  </si>
  <si>
    <t>parameter or argument error (supplies incorrect data to a function)</t>
  </si>
  <si>
    <t>math error</t>
  </si>
  <si>
    <t>logic incorrect for start, end or equivalency condition</t>
  </si>
  <si>
    <t>format error</t>
  </si>
  <si>
    <t>display of value is incorrect or misleading</t>
  </si>
  <si>
    <t>Average Temperature in Atlanta</t>
  </si>
  <si>
    <t>Month</t>
  </si>
  <si>
    <t>°C</t>
  </si>
  <si>
    <t>°K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</si>
  <si>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</si>
  <si>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</si>
  <si>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</si>
  <si>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</si>
  <si>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</si>
  <si>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</si>
  <si>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</si>
  <si>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</si>
  <si>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</si>
  <si>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</si>
  <si>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</si>
  <si>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</si>
  <si>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High Temp</t>
  </si>
  <si>
    <t>Low Temp</t>
  </si>
  <si>
    <t>* Temperatures provided by USA Climate Data https://www.usclimatedata.com/climate/atlanta/georgia/united-states/usga0028</t>
  </si>
  <si>
    <t>errors not matching other categories</t>
  </si>
  <si>
    <t>Replace the Screenshot in the cell below with an image from your computer showing participants by name and date/time</t>
  </si>
  <si>
    <t>Here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</si>
  <si>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The participant list must be from a web conferencing tool such as Webex, MS Teams, Skype or some other tool that allows screen sharing.</t>
    </r>
  </si>
  <si>
    <t>Windows Screen capture</t>
  </si>
  <si>
    <t>Shift-Window-S</t>
  </si>
  <si>
    <t>Macontosh Screen capture</t>
  </si>
  <si>
    <t>Shift-Command-5</t>
  </si>
  <si>
    <t>logic error</t>
  </si>
  <si>
    <t>conditional logic does not accomplish intended action</t>
  </si>
  <si>
    <t>math formula does not accomplish intended calculation</t>
  </si>
  <si>
    <t>Note: No help in columns D &amp; E below this point</t>
  </si>
  <si>
    <t>Problem Label</t>
  </si>
  <si>
    <t>compound problem</t>
  </si>
  <si>
    <t>more than one problem exists</t>
  </si>
  <si>
    <t>Round</t>
  </si>
  <si>
    <t>Trunc</t>
  </si>
  <si>
    <t>Average</t>
  </si>
  <si>
    <t>Average Low Temp °F (column N)</t>
  </si>
  <si>
    <t>Math equation: Average Winter Low Temp °F</t>
  </si>
  <si>
    <t>incorrect variable (cell)</t>
  </si>
  <si>
    <t>Avg Winter</t>
  </si>
  <si>
    <t>ROUND 2</t>
  </si>
  <si>
    <t>Round 1 Avg Winter</t>
  </si>
  <si>
    <t>Math equation: Mean Winter Low Temp °C</t>
  </si>
  <si>
    <t>Median High Temp °C</t>
  </si>
  <si>
    <t>includes an incorrect cell reference (pointing to the wrong data)</t>
  </si>
  <si>
    <t xml:space="preserve"> </t>
  </si>
  <si>
    <t>COUNT number of months in the table</t>
  </si>
  <si>
    <t>Truncate Mean High Temp  °K</t>
  </si>
  <si>
    <t>COUNT number of temperature values in the table</t>
  </si>
  <si>
    <t>Average Low Temp °C (column O)</t>
  </si>
  <si>
    <t>Math equation: Mean Winter Low Temp °K</t>
  </si>
  <si>
    <t>VLOOKUP the High Temp °C for September</t>
  </si>
  <si>
    <t>Mean High Temp °K (column M)</t>
  </si>
  <si>
    <t>ROUND Mean Winter Low Temp  °K to 3 digits</t>
  </si>
  <si>
    <t>function name is unknown, or is incorrect for the task</t>
  </si>
  <si>
    <t>Record High</t>
  </si>
  <si>
    <t>Record Low</t>
  </si>
  <si>
    <t>Average Rain</t>
  </si>
  <si>
    <t>inches</t>
  </si>
  <si>
    <t>days</t>
  </si>
  <si>
    <t>Other Weather Stats</t>
  </si>
  <si>
    <t>AverageSnow</t>
  </si>
  <si>
    <t>Average Snow</t>
  </si>
  <si>
    <r>
      <rPr>
        <vertAlign val="superscript"/>
        <sz val="11"/>
        <color theme="1"/>
        <rFont val="Calibri Light"/>
        <family val="2"/>
      </rPr>
      <t xml:space="preserve">† </t>
    </r>
    <r>
      <rPr>
        <sz val="11"/>
        <color theme="1"/>
        <rFont val="Calibri"/>
        <family val="2"/>
      </rPr>
      <t>Data provided by Weather Trends</t>
    </r>
  </si>
  <si>
    <t>Ma</t>
  </si>
  <si>
    <r>
      <rPr>
        <sz val="11"/>
        <color theme="0" tint="-0.499984740745262"/>
        <rFont val="Calibri"/>
        <family val="2"/>
      </rPr>
      <t>°</t>
    </r>
    <r>
      <rPr>
        <sz val="11"/>
        <color theme="0" tint="-0.499984740745262"/>
        <rFont val="Calibri"/>
        <family val="2"/>
        <scheme val="minor"/>
      </rPr>
      <t>F</t>
    </r>
  </si>
  <si>
    <r>
      <rPr>
        <b/>
        <sz val="11"/>
        <color rgb="FF002060"/>
        <rFont val="Calibri"/>
        <family val="2"/>
      </rPr>
      <t>°</t>
    </r>
    <r>
      <rPr>
        <b/>
        <sz val="11"/>
        <color rgb="FF002060"/>
        <rFont val="Calibri"/>
        <family val="2"/>
        <scheme val="minor"/>
      </rPr>
      <t>F</t>
    </r>
  </si>
  <si>
    <t>Kurt Schmitz © 2025  Do not post or reproduce.</t>
  </si>
  <si>
    <t>VLOOKUP the Low Temp  °C for May</t>
  </si>
  <si>
    <t>VLOOKUP the Low Temp  °K for July</t>
  </si>
  <si>
    <t>VLOOKUP the Low Temp  °K for Feb</t>
  </si>
  <si>
    <t>VLOOKUP the High Temp  °K for Jul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</si>
  <si>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 c1)</t>
    </r>
  </si>
  <si>
    <t>Fall 2025</t>
  </si>
  <si>
    <t>Joe Student</t>
  </si>
  <si>
    <t>DirVer</t>
  </si>
  <si>
    <t>ROUND Mean Winter Low Temp  °F to 2 digits</t>
  </si>
  <si>
    <t>ROUND Average Winter Low Temp  °F to 1 digit</t>
  </si>
  <si>
    <t>Spring 2026</t>
  </si>
  <si>
    <t>applicant_id</t>
  </si>
  <si>
    <t>application_date</t>
  </si>
  <si>
    <t>county</t>
  </si>
  <si>
    <t>zip_code</t>
  </si>
  <si>
    <t>age</t>
  </si>
  <si>
    <t>credit_score</t>
  </si>
  <si>
    <t>credit_bureau</t>
  </si>
  <si>
    <t>annual_income</t>
  </si>
  <si>
    <t>annual_income_verified</t>
  </si>
  <si>
    <t>employment_status</t>
  </si>
  <si>
    <t>employment_status_complete</t>
  </si>
  <si>
    <t>employment_length_years</t>
  </si>
  <si>
    <t>has_previous_eviction</t>
  </si>
  <si>
    <t>num_previous_addresses</t>
  </si>
  <si>
    <t>rental_history_years</t>
  </si>
  <si>
    <t>num_references</t>
  </si>
  <si>
    <t>monthly_rent_applied</t>
  </si>
  <si>
    <t>rent_to_income_ratio</t>
  </si>
  <si>
    <t>application_status</t>
  </si>
  <si>
    <t>months_as_tenant</t>
  </si>
  <si>
    <t>late_payment_count</t>
  </si>
  <si>
    <t>total_payment_count</t>
  </si>
  <si>
    <t>lease_violations</t>
  </si>
  <si>
    <t>early_termination</t>
  </si>
  <si>
    <t>final_outcome</t>
  </si>
  <si>
    <t>APP000404</t>
  </si>
  <si>
    <t>Gwinnett</t>
  </si>
  <si>
    <t>_x0016_30046_x0016_</t>
  </si>
  <si>
    <t>TransUnion</t>
  </si>
  <si>
    <t>Full-time</t>
  </si>
  <si>
    <t>"FALSE"</t>
  </si>
  <si>
    <t>Approved</t>
  </si>
  <si>
    <t>"TRUE"</t>
  </si>
  <si>
    <t>Moved Out - Early</t>
  </si>
  <si>
    <t>APP000127</t>
  </si>
  <si>
    <t>_x0016_30078_x0016_</t>
  </si>
  <si>
    <t>FICO</t>
  </si>
  <si>
    <t>Part-time</t>
  </si>
  <si>
    <t>Moved Out - Lease End</t>
  </si>
  <si>
    <t>APP000781</t>
  </si>
  <si>
    <t>DeKalb</t>
  </si>
  <si>
    <t>_x0016_30319_x0016_</t>
  </si>
  <si>
    <t>APP000381</t>
  </si>
  <si>
    <t>Fulton</t>
  </si>
  <si>
    <t>_x0016_30308_x0016_</t>
  </si>
  <si>
    <t>APP000221</t>
  </si>
  <si>
    <t>_x0016_30033_x0016_</t>
  </si>
  <si>
    <t>None</t>
  </si>
  <si>
    <t>APP000830</t>
  </si>
  <si>
    <t>_x0016_30317_x0016_</t>
  </si>
  <si>
    <t>Experian</t>
  </si>
  <si>
    <t>Contract</t>
  </si>
  <si>
    <t>APP000706</t>
  </si>
  <si>
    <t>_x0016_30044_x0016_</t>
  </si>
  <si>
    <t>APP001045</t>
  </si>
  <si>
    <t>APP000115</t>
  </si>
  <si>
    <t>APP000303</t>
  </si>
  <si>
    <t>Equifax</t>
  </si>
  <si>
    <t>APP000440</t>
  </si>
  <si>
    <t>APP000494</t>
  </si>
  <si>
    <t>_x0016_30305_x0016_</t>
  </si>
  <si>
    <t>APP001156</t>
  </si>
  <si>
    <t>Unemployed</t>
  </si>
  <si>
    <t>APP000022</t>
  </si>
  <si>
    <t>Self-employed</t>
  </si>
  <si>
    <t>APP000163</t>
  </si>
  <si>
    <t>APP001199</t>
  </si>
  <si>
    <t>APP001208</t>
  </si>
  <si>
    <t>_x0016_30318_x0016_</t>
  </si>
  <si>
    <t>APP000281</t>
  </si>
  <si>
    <t>APP000936</t>
  </si>
  <si>
    <t>_x0016_30314_x0016_</t>
  </si>
  <si>
    <t>APP000265</t>
  </si>
  <si>
    <t>APP000912</t>
  </si>
  <si>
    <t>_x0016_30310_x0016_</t>
  </si>
  <si>
    <t>APP000310</t>
  </si>
  <si>
    <t>_x0016_30309_x0016_</t>
  </si>
  <si>
    <t>APP000610</t>
  </si>
  <si>
    <t>_x0016_30030_x0016_</t>
  </si>
  <si>
    <t>Denied</t>
  </si>
  <si>
    <t>Application Denied</t>
  </si>
  <si>
    <t>APP000106</t>
  </si>
  <si>
    <t>APP000665</t>
  </si>
  <si>
    <t>APP000575</t>
  </si>
  <si>
    <t>APP000802</t>
  </si>
  <si>
    <t>APP000977</t>
  </si>
  <si>
    <t>APP000656</t>
  </si>
  <si>
    <t>APP000209</t>
  </si>
  <si>
    <t>APP001054</t>
  </si>
  <si>
    <t>APP000862</t>
  </si>
  <si>
    <t>_x0016_30032_x0016_</t>
  </si>
  <si>
    <t>APP001058</t>
  </si>
  <si>
    <t>APP000621</t>
  </si>
  <si>
    <t>APP001221</t>
  </si>
  <si>
    <t>_x0016_30047_x0016_</t>
  </si>
  <si>
    <t>APP000534</t>
  </si>
  <si>
    <t>APP000130</t>
  </si>
  <si>
    <t>APP000491</t>
  </si>
  <si>
    <t>APP000543</t>
  </si>
  <si>
    <t>APP000748</t>
  </si>
  <si>
    <t>APP001231</t>
  </si>
  <si>
    <t>APP000160</t>
  </si>
  <si>
    <t>Student</t>
  </si>
  <si>
    <t>APP001033</t>
  </si>
  <si>
    <t>APP000933</t>
  </si>
  <si>
    <t>APP000352</t>
  </si>
  <si>
    <t>APP000427</t>
  </si>
  <si>
    <t>APP000334</t>
  </si>
  <si>
    <t>APP000002</t>
  </si>
  <si>
    <t>APP000988</t>
  </si>
  <si>
    <t>APP000558</t>
  </si>
  <si>
    <t>APP001052</t>
  </si>
  <si>
    <t>APP000745</t>
  </si>
  <si>
    <t>APP001148</t>
  </si>
  <si>
    <t>APP000016</t>
  </si>
  <si>
    <t>APP000512</t>
  </si>
  <si>
    <t>APP000514</t>
  </si>
  <si>
    <t>APP000363</t>
  </si>
  <si>
    <t>APP000599</t>
  </si>
  <si>
    <t>APP000505</t>
  </si>
  <si>
    <t>APP000798</t>
  </si>
  <si>
    <t>APP000888</t>
  </si>
  <si>
    <t>APP001150</t>
  </si>
  <si>
    <t>APP000011</t>
  </si>
  <si>
    <t>APP001162</t>
  </si>
  <si>
    <t>APP000540</t>
  </si>
  <si>
    <t>APP001077</t>
  </si>
  <si>
    <t>APP000168</t>
  </si>
  <si>
    <t>APP000010</t>
  </si>
  <si>
    <t>APP000072</t>
  </si>
  <si>
    <t>Retired</t>
  </si>
  <si>
    <t>APP000711</t>
  </si>
  <si>
    <t>APP001015</t>
  </si>
  <si>
    <t>APP000950</t>
  </si>
  <si>
    <t>APP000314</t>
  </si>
  <si>
    <t>APP000876</t>
  </si>
  <si>
    <t>APP000772</t>
  </si>
  <si>
    <t>APP000854</t>
  </si>
  <si>
    <t>APP000998</t>
  </si>
  <si>
    <t>APP000368</t>
  </si>
  <si>
    <t>APP000343</t>
  </si>
  <si>
    <t>APP000947</t>
  </si>
  <si>
    <t>APP000250</t>
  </si>
  <si>
    <t>APP000322</t>
  </si>
  <si>
    <t>APP000741</t>
  </si>
  <si>
    <t>APP000539</t>
  </si>
  <si>
    <t>APP000750</t>
  </si>
  <si>
    <t>APP000568</t>
  </si>
  <si>
    <t>APP000319</t>
  </si>
  <si>
    <t>APP001219</t>
  </si>
  <si>
    <t>APP001074</t>
  </si>
  <si>
    <t>APP000037</t>
  </si>
  <si>
    <t>APP000847</t>
  </si>
  <si>
    <t>APP000302</t>
  </si>
  <si>
    <t>APP000379</t>
  </si>
  <si>
    <t>APP000997</t>
  </si>
  <si>
    <t>APP000659</t>
  </si>
  <si>
    <t>APP001195</t>
  </si>
  <si>
    <t>APP000046</t>
  </si>
  <si>
    <t>APP000889</t>
  </si>
  <si>
    <t>APP000428</t>
  </si>
  <si>
    <t>_x0016_30045_x0016_</t>
  </si>
  <si>
    <t>APP000096</t>
  </si>
  <si>
    <t>APP000937</t>
  </si>
  <si>
    <t>APP001177</t>
  </si>
  <si>
    <t>APP000520</t>
  </si>
  <si>
    <t>APP000236</t>
  </si>
  <si>
    <t>APP000447</t>
  </si>
  <si>
    <t>APP001034</t>
  </si>
  <si>
    <t>APP000208</t>
  </si>
  <si>
    <t>APP000298</t>
  </si>
  <si>
    <t>APP000672</t>
  </si>
  <si>
    <t>APP001131</t>
  </si>
  <si>
    <t>APP000790</t>
  </si>
  <si>
    <t>APP000535</t>
  </si>
  <si>
    <t>APP001061</t>
  </si>
  <si>
    <t>APP001174</t>
  </si>
  <si>
    <t>APP000680</t>
  </si>
  <si>
    <t>APP000189</t>
  </si>
  <si>
    <t>APP000784</t>
  </si>
  <si>
    <t>APP000660</t>
  </si>
  <si>
    <t>APP001198</t>
  </si>
  <si>
    <t>APP000070</t>
  </si>
  <si>
    <t>APP000891</t>
  </si>
  <si>
    <t>APP000240</t>
  </si>
  <si>
    <t>APP000235</t>
  </si>
  <si>
    <t>APP000135</t>
  </si>
  <si>
    <t>APP000232</t>
  </si>
  <si>
    <t>APP000218</t>
  </si>
  <si>
    <t>APP000165</t>
  </si>
  <si>
    <t>APP000727</t>
  </si>
  <si>
    <t>APP001125</t>
  </si>
  <si>
    <t>APP000695</t>
  </si>
  <si>
    <t>APP001025</t>
  </si>
  <si>
    <t>APP000191</t>
  </si>
  <si>
    <t>APP000233</t>
  </si>
  <si>
    <t>APP001078</t>
  </si>
  <si>
    <t>APP000487</t>
  </si>
  <si>
    <t>APP000991</t>
  </si>
  <si>
    <t>APP000101</t>
  </si>
  <si>
    <t>APP001065</t>
  </si>
  <si>
    <t>APP000158</t>
  </si>
  <si>
    <t>APP000481</t>
  </si>
  <si>
    <t>APP000676</t>
  </si>
  <si>
    <t>APP001089</t>
  </si>
  <si>
    <t>APP000076</t>
  </si>
  <si>
    <t>APP001117</t>
  </si>
  <si>
    <t>APP000167</t>
  </si>
  <si>
    <t>APP000245</t>
  </si>
  <si>
    <t>APP000877</t>
  </si>
  <si>
    <t>APP000244</t>
  </si>
  <si>
    <t>APP000274</t>
  </si>
  <si>
    <t>APP001039</t>
  </si>
  <si>
    <t>APP000538</t>
  </si>
  <si>
    <t>APP000572</t>
  </si>
  <si>
    <t>APP000140</t>
  </si>
  <si>
    <t>APP000357</t>
  </si>
  <si>
    <t>APP000045</t>
  </si>
  <si>
    <t>APP000824</t>
  </si>
  <si>
    <t>APP001160</t>
  </si>
  <si>
    <t>APP000386</t>
  </si>
  <si>
    <t>APP000170</t>
  </si>
  <si>
    <t>APP000164</t>
  </si>
  <si>
    <t>APP000716</t>
  </si>
  <si>
    <t>APP000061</t>
  </si>
  <si>
    <t>APP000726</t>
  </si>
  <si>
    <t>APP001217</t>
  </si>
  <si>
    <t>APP000264</t>
  </si>
  <si>
    <t>APP000431</t>
  </si>
  <si>
    <t>APP000268</t>
  </si>
  <si>
    <t>APP001085</t>
  </si>
  <si>
    <t>APP000916</t>
  </si>
  <si>
    <t>APP000679</t>
  </si>
  <si>
    <t>APP000866</t>
  </si>
  <si>
    <t>APP000704</t>
  </si>
  <si>
    <t>APP000312</t>
  </si>
  <si>
    <t>APP000970</t>
  </si>
  <si>
    <t>APP000205</t>
  </si>
  <si>
    <t>APP000563</t>
  </si>
  <si>
    <t>APP000468</t>
  </si>
  <si>
    <t>APP001223</t>
  </si>
  <si>
    <t>APP000041</t>
  </si>
  <si>
    <t>APP001242</t>
  </si>
  <si>
    <t>APP000137</t>
  </si>
  <si>
    <t>APP000902</t>
  </si>
  <si>
    <t>APP000049</t>
  </si>
  <si>
    <t>APP000871</t>
  </si>
  <si>
    <t>APP000242</t>
  </si>
  <si>
    <t>APP000740</t>
  </si>
  <si>
    <t>APP001086</t>
  </si>
  <si>
    <t>APP000474</t>
  </si>
  <si>
    <t>APP000700</t>
  </si>
  <si>
    <t>APP001178</t>
  </si>
  <si>
    <t>APP000251</t>
  </si>
  <si>
    <t>APP000532</t>
  </si>
  <si>
    <t>APP000515</t>
  </si>
  <si>
    <t>APP000417</t>
  </si>
  <si>
    <t>APP001173</t>
  </si>
  <si>
    <t>APP000684</t>
  </si>
  <si>
    <t>APP001119</t>
  </si>
  <si>
    <t>APP000138</t>
  </si>
  <si>
    <t>APP000613</t>
  </si>
  <si>
    <t>APP000592</t>
  </si>
  <si>
    <t>APP000008</t>
  </si>
  <si>
    <t>APP000774</t>
  </si>
  <si>
    <t>APP001236</t>
  </si>
  <si>
    <t>APP000975</t>
  </si>
  <si>
    <t>APP000953</t>
  </si>
  <si>
    <t>APP000881</t>
  </si>
  <si>
    <t>APP000095</t>
  </si>
  <si>
    <t>APP000759</t>
  </si>
  <si>
    <t>APP001118</t>
  </si>
  <si>
    <t>APP000746</t>
  </si>
  <si>
    <t>APP001163</t>
  </si>
  <si>
    <t>APP001031</t>
  </si>
  <si>
    <t>APP000299</t>
  </si>
  <si>
    <t>APP000031</t>
  </si>
  <si>
    <t>APP000622</t>
  </si>
  <si>
    <t>APP001120</t>
  </si>
  <si>
    <t>APP000804</t>
  </si>
  <si>
    <t>APP000210</t>
  </si>
  <si>
    <t>APP000421</t>
  </si>
  <si>
    <t>APP000012</t>
  </si>
  <si>
    <t>APP000182</t>
  </si>
  <si>
    <t>APP001109</t>
  </si>
  <si>
    <t>APP001122</t>
  </si>
  <si>
    <t>APP000033</t>
  </si>
  <si>
    <t>APP000946</t>
  </si>
  <si>
    <t>APP000183</t>
  </si>
  <si>
    <t>APP001002</t>
  </si>
  <si>
    <t>APP000207</t>
  </si>
  <si>
    <t>APP000190</t>
  </si>
  <si>
    <t>APP000883</t>
  </si>
  <si>
    <t>APP001011</t>
  </si>
  <si>
    <t>APP000696</t>
  </si>
  <si>
    <t>APP001098</t>
  </si>
  <si>
    <t>APP001022</t>
  </si>
  <si>
    <t>APP000860</t>
  </si>
  <si>
    <t>APP000267</t>
  </si>
  <si>
    <t>APP000884</t>
  </si>
  <si>
    <t>APP000858</t>
  </si>
  <si>
    <t>APP000649</t>
  </si>
  <si>
    <t>APP000051</t>
  </si>
  <si>
    <t>APP000565</t>
  </si>
  <si>
    <t>APP000030</t>
  </si>
  <si>
    <t>APP000007</t>
  </si>
  <si>
    <t>APP000664</t>
  </si>
  <si>
    <t>APP000326</t>
  </si>
  <si>
    <t>APP001135</t>
  </si>
  <si>
    <t>APP000283</t>
  </si>
  <si>
    <t>APP000765</t>
  </si>
  <si>
    <t>APP000578</t>
  </si>
  <si>
    <t>APP001238</t>
  </si>
  <si>
    <t>APP000120</t>
  </si>
  <si>
    <t>APP000927</t>
  </si>
  <si>
    <t>APP000441</t>
  </si>
  <si>
    <t>APP000287</t>
  </si>
  <si>
    <t>APP001082</t>
  </si>
  <si>
    <t>APP000557</t>
  </si>
  <si>
    <t>APP000341</t>
  </si>
  <si>
    <t>APP001141</t>
  </si>
  <si>
    <t>APP000985</t>
  </si>
  <si>
    <t>APP000369</t>
  </si>
  <si>
    <t>APP001070</t>
  </si>
  <si>
    <t>APP000194</t>
  </si>
  <si>
    <t>APP000097</t>
  </si>
  <si>
    <t>APP001051</t>
  </si>
  <si>
    <t>APP001191</t>
  </si>
  <si>
    <t>APP000001</t>
  </si>
  <si>
    <t>APP000110</t>
  </si>
  <si>
    <t>APP000131</t>
  </si>
  <si>
    <t>APP000311</t>
  </si>
  <si>
    <t>APP000806</t>
  </si>
  <si>
    <t>APP001064</t>
  </si>
  <si>
    <t>APP001188</t>
  </si>
  <si>
    <t>APP000675</t>
  </si>
  <si>
    <t>APP001099</t>
  </si>
  <si>
    <t>APP000548</t>
  </si>
  <si>
    <t>APP000554</t>
  </si>
  <si>
    <t>APP000107</t>
  </si>
  <si>
    <t>APP001144</t>
  </si>
  <si>
    <t>APP000721</t>
  </si>
  <si>
    <t>APP000968</t>
  </si>
  <si>
    <t>APP001229</t>
  </si>
  <si>
    <t>APP000364</t>
  </si>
  <si>
    <t>APP000286</t>
  </si>
  <si>
    <t>APP000375</t>
  </si>
  <si>
    <t>APP000778</t>
  </si>
  <si>
    <t>APP001001</t>
  </si>
  <si>
    <t>APP000995</t>
  </si>
  <si>
    <t>APP000808</t>
  </si>
  <si>
    <t>APP000686</t>
  </si>
  <si>
    <t>APP000642</t>
  </si>
  <si>
    <t>APP000248</t>
  </si>
  <si>
    <t>APP001207</t>
  </si>
  <si>
    <t>APP000639</t>
  </si>
  <si>
    <t>APP000155</t>
  </si>
  <si>
    <t>APP000567</t>
  </si>
  <si>
    <t>APP000449</t>
  </si>
  <si>
    <t>APP000797</t>
  </si>
  <si>
    <t>APP001127</t>
  </si>
  <si>
    <t>APP001029</t>
  </si>
  <si>
    <t>APP000979</t>
  </si>
  <si>
    <t>APP000732</t>
  </si>
  <si>
    <t>APP000389</t>
  </si>
  <si>
    <t>APP000039</t>
  </si>
  <si>
    <t>APP001037</t>
  </si>
  <si>
    <t>APP000141</t>
  </si>
  <si>
    <t>APP001090</t>
  </si>
  <si>
    <t>APP000662</t>
  </si>
  <si>
    <t>APP000546</t>
  </si>
  <si>
    <t>APP000855</t>
  </si>
  <si>
    <t>APP000657</t>
  </si>
  <si>
    <t>APP001062</t>
  </si>
  <si>
    <t>APP000397</t>
  </si>
  <si>
    <t>APP000318</t>
  </si>
  <si>
    <t>APP000511</t>
  </si>
  <si>
    <t>APP000142</t>
  </si>
  <si>
    <t>APP001212</t>
  </si>
  <si>
    <t>APP001124</t>
  </si>
  <si>
    <t>APP001048</t>
  </si>
  <si>
    <t>APP000305</t>
  </si>
  <si>
    <t>APP000793</t>
  </si>
  <si>
    <t>APP000260</t>
  </si>
  <si>
    <t>APP000952</t>
  </si>
  <si>
    <t>APP001053</t>
  </si>
  <si>
    <t>APP000959</t>
  </si>
  <si>
    <t>APP000176</t>
  </si>
  <si>
    <t>APP000272</t>
  </si>
  <si>
    <t>APP000451</t>
  </si>
  <si>
    <t>APP000284</t>
  </si>
  <si>
    <t>APP000517</t>
  </si>
  <si>
    <t>APP001004</t>
  </si>
  <si>
    <t>APP000823</t>
  </si>
  <si>
    <t>APP000945</t>
  </si>
  <si>
    <t>APP001203</t>
  </si>
  <si>
    <t>APP000092</t>
  </si>
  <si>
    <t>APP000475</t>
  </si>
  <si>
    <t>APP000085</t>
  </si>
  <si>
    <t>APP000006</t>
  </si>
  <si>
    <t>APP000996</t>
  </si>
  <si>
    <t>APP000199</t>
  </si>
  <si>
    <t>APP000971</t>
  </si>
  <si>
    <t>APP001161</t>
  </si>
  <si>
    <t>APP000725</t>
  </si>
  <si>
    <t>APP000083</t>
  </si>
  <si>
    <t>APP000906</t>
  </si>
  <si>
    <t>APP001158</t>
  </si>
  <si>
    <t>Full Time</t>
  </si>
  <si>
    <t>APP000863</t>
  </si>
  <si>
    <t>APP000819</t>
  </si>
  <si>
    <t>APP001047</t>
  </si>
  <si>
    <t>APP000896</t>
  </si>
  <si>
    <t>APP000426</t>
  </si>
  <si>
    <t>APP001044</t>
  </si>
  <si>
    <t>APP000439</t>
  </si>
  <si>
    <t>APP000316</t>
  </si>
  <si>
    <t>APP001088</t>
  </si>
  <si>
    <t>APP000834</t>
  </si>
  <si>
    <t>APP000313</t>
  </si>
  <si>
    <t>APP000723</t>
  </si>
  <si>
    <t>APP000682</t>
  </si>
  <si>
    <t>APP000476</t>
  </si>
  <si>
    <t>APP000681</t>
  </si>
  <si>
    <t>APP000852</t>
  </si>
  <si>
    <t>APP000544</t>
  </si>
  <si>
    <t>APP001115</t>
  </si>
  <si>
    <t>APP000479</t>
  </si>
  <si>
    <t>APP000098</t>
  </si>
  <si>
    <t>APP000124</t>
  </si>
  <si>
    <t>APP000582</t>
  </si>
  <si>
    <t>APP000809</t>
  </si>
  <si>
    <t>APP001009</t>
  </si>
  <si>
    <t>APP000865</t>
  </si>
  <si>
    <t>APP000329</t>
  </si>
  <si>
    <t>APP001138</t>
  </si>
  <si>
    <t>APP000228</t>
  </si>
  <si>
    <t>APP000027</t>
  </si>
  <si>
    <t>APP000288</t>
  </si>
  <si>
    <t>APP001175</t>
  </si>
  <si>
    <t>APP000705</t>
  </si>
  <si>
    <t>APP000701</t>
  </si>
  <si>
    <t>APP001176</t>
  </si>
  <si>
    <t>APP000239</t>
  </si>
  <si>
    <t>APP001169</t>
  </si>
  <si>
    <t>APP000278</t>
  </si>
  <si>
    <t>APP000915</t>
  </si>
  <si>
    <t>APP000113</t>
  </si>
  <si>
    <t>APP000800</t>
  </si>
  <si>
    <t>APP000458</t>
  </si>
  <si>
    <t>APP000340</t>
  </si>
  <si>
    <t>APP000023</t>
  </si>
  <si>
    <t>APP000099</t>
  </si>
  <si>
    <t>APP000766</t>
  </si>
  <si>
    <t>APP000126</t>
  </si>
  <si>
    <t>APP000307</t>
  </si>
  <si>
    <t>APP000331</t>
  </si>
  <si>
    <t>APP000056</t>
  </si>
  <si>
    <t>APP000064</t>
  </si>
  <si>
    <t>APP000555</t>
  </si>
  <si>
    <t>APP000963</t>
  </si>
  <si>
    <t>APP000219</t>
  </si>
  <si>
    <t>APP000144</t>
  </si>
  <si>
    <t>APP000509</t>
  </si>
  <si>
    <t>APP000728</t>
  </si>
  <si>
    <t>APP000212</t>
  </si>
  <si>
    <t>APP000886</t>
  </si>
  <si>
    <t>APP000553</t>
  </si>
  <si>
    <t>APP000416</t>
  </si>
  <si>
    <t>APP000900</t>
  </si>
  <si>
    <t>APP000062</t>
  </si>
  <si>
    <t>APP001233</t>
  </si>
  <si>
    <t>APP000703</t>
  </si>
  <si>
    <t>APP000401</t>
  </si>
  <si>
    <t>APP001059</t>
  </si>
  <si>
    <t>APP001050</t>
  </si>
  <si>
    <t>APP000751</t>
  </si>
  <si>
    <t>APP000901</t>
  </si>
  <si>
    <t>APP001211</t>
  </si>
  <si>
    <t>APP000957</t>
  </si>
  <si>
    <t>APP000444</t>
  </si>
  <si>
    <t>APP000584</t>
  </si>
  <si>
    <t>APP000332</t>
  </si>
  <si>
    <t>APP000366</t>
  </si>
  <si>
    <t>APP000118</t>
  </si>
  <si>
    <t>APP000654</t>
  </si>
  <si>
    <t>APP000335</t>
  </si>
  <si>
    <t>APP000899</t>
  </si>
  <si>
    <t>APP001151</t>
  </si>
  <si>
    <t>APP000756</t>
  </si>
  <si>
    <t>APP001157</t>
  </si>
  <si>
    <t>APP000602</t>
  </si>
  <si>
    <t>APP000519</t>
  </si>
  <si>
    <t>APP000201</t>
  </si>
  <si>
    <t>APP000671</t>
  </si>
  <si>
    <t>APP000643</t>
  </si>
  <si>
    <t>APP000243</t>
  </si>
  <si>
    <t>APP000785</t>
  </si>
  <si>
    <t>APP000842</t>
  </si>
  <si>
    <t>APP000229</t>
  </si>
  <si>
    <t>APP001028</t>
  </si>
  <si>
    <t>APP000377</t>
  </si>
  <si>
    <t>APP000943</t>
  </si>
  <si>
    <t>APP000197</t>
  </si>
  <si>
    <t>APP000181</t>
  </si>
  <si>
    <t>APP000821</t>
  </si>
  <si>
    <t>APP000612</t>
  </si>
  <si>
    <t>APP000196</t>
  </si>
  <si>
    <t>APP000644</t>
  </si>
  <si>
    <t>APP000398</t>
  </si>
  <si>
    <t>APP000044</t>
  </si>
  <si>
    <t>APP000640</t>
  </si>
  <si>
    <t>APP000353</t>
  </si>
  <si>
    <t>APP000650</t>
  </si>
  <si>
    <t>APP000434</t>
  </si>
  <si>
    <t>APP000383</t>
  </si>
  <si>
    <t>APP000719</t>
  </si>
  <si>
    <t>APP000562</t>
  </si>
  <si>
    <t>APP000017</t>
  </si>
  <si>
    <t>APP000123</t>
  </si>
  <si>
    <t>APP000924</t>
  </si>
  <si>
    <t>APP000425</t>
  </si>
  <si>
    <t>APP000542</t>
  </si>
  <si>
    <t>APP000346</t>
  </si>
  <si>
    <t>APP000958</t>
  </si>
  <si>
    <t>APP000148</t>
  </si>
  <si>
    <t>APP000791</t>
  </si>
  <si>
    <t>APP000293</t>
  </si>
  <si>
    <t>APP000255</t>
  </si>
  <si>
    <t>APP001200</t>
  </si>
  <si>
    <t>APP001038</t>
  </si>
  <si>
    <t>APP000488</t>
  </si>
  <si>
    <t>APP001040</t>
  </si>
  <si>
    <t>APP000697</t>
  </si>
  <si>
    <t>APP000059</t>
  </si>
  <si>
    <t>APP000407</t>
  </si>
  <si>
    <t>APP000324</t>
  </si>
  <si>
    <t>APP000291</t>
  </si>
  <si>
    <t>APP000077</t>
  </si>
  <si>
    <t>APP000698</t>
  </si>
  <si>
    <t>APP001202</t>
  </si>
  <si>
    <t>APP000524</t>
  </si>
  <si>
    <t>APP000147</t>
  </si>
  <si>
    <t>APP000604</t>
  </si>
  <si>
    <t>APP001032</t>
  </si>
  <si>
    <t>APP000079</t>
  </si>
  <si>
    <t>APP001137</t>
  </si>
  <si>
    <t>APP000269</t>
  </si>
  <si>
    <t>APP000413</t>
  </si>
  <si>
    <t>APP000216</t>
  </si>
  <si>
    <t>APP000480</t>
  </si>
  <si>
    <t>APP000175</t>
  </si>
  <si>
    <t>APP001100</t>
  </si>
  <si>
    <t>APP001164</t>
  </si>
  <si>
    <t>APP000028</t>
  </si>
  <si>
    <t>APP001186</t>
  </si>
  <si>
    <t>APP001041</t>
  </si>
  <si>
    <t>APP000645</t>
  </si>
  <si>
    <t>APP001017</t>
  </si>
  <si>
    <t>APP000231</t>
  </si>
  <si>
    <t>APP000549</t>
  </si>
  <si>
    <t>APP000013</t>
  </si>
  <si>
    <t>APP000443</t>
  </si>
  <si>
    <t>APP000942</t>
  </si>
  <si>
    <t>APP000091</t>
  </si>
  <si>
    <t>APP000501</t>
  </si>
  <si>
    <t>APP000068</t>
  </si>
  <si>
    <t>APP000162</t>
  </si>
  <si>
    <t>APP000019</t>
  </si>
  <si>
    <t>APP001196</t>
  </si>
  <si>
    <t>APP000499</t>
  </si>
  <si>
    <t>APP000990</t>
  </si>
  <si>
    <t>APP001073</t>
  </si>
  <si>
    <t>APP001246</t>
  </si>
  <si>
    <t>APP000624</t>
  </si>
  <si>
    <t>APP000345</t>
  </si>
  <si>
    <t>APP000351</t>
  </si>
  <si>
    <t>APP000005</t>
  </si>
  <si>
    <t>APP000537</t>
  </si>
  <si>
    <t>APP001140</t>
  </si>
  <si>
    <t>APP000424</t>
  </si>
  <si>
    <t>APP000157</t>
  </si>
  <si>
    <t>APP000805</t>
  </si>
  <si>
    <t>APP000722</t>
  </si>
  <si>
    <t>APP000972</t>
  </si>
  <si>
    <t>APP000688</t>
  </si>
  <si>
    <t>APP001146</t>
  </si>
  <si>
    <t>APP000880</t>
  </si>
  <si>
    <t>APP000652</t>
  </si>
  <si>
    <t>APP000350</t>
  </si>
  <si>
    <t>APP000047</t>
  </si>
  <si>
    <t>APP001103</t>
  </si>
  <si>
    <t>APP000166</t>
  </si>
  <si>
    <t>full-time</t>
  </si>
  <si>
    <t>APP000747</t>
  </si>
  <si>
    <t>APP000071</t>
  </si>
  <si>
    <t>APP000940</t>
  </si>
  <si>
    <t>APP000161</t>
  </si>
  <si>
    <t>APP001214</t>
  </si>
  <si>
    <t>APP000638</t>
  </si>
  <si>
    <t>APP000477</t>
  </si>
  <si>
    <t>APP000712</t>
  </si>
  <si>
    <t>APP000907</t>
  </si>
  <si>
    <t>APP000014</t>
  </si>
  <si>
    <t>APP000050</t>
  </si>
  <si>
    <t>APP001042</t>
  </si>
  <si>
    <t>APP000717</t>
  </si>
  <si>
    <t>APP000845</t>
  </si>
  <si>
    <t>APP000986</t>
  </si>
  <si>
    <t>APP000470</t>
  </si>
  <si>
    <t>APP000878</t>
  </si>
  <si>
    <t>APP001003</t>
  </si>
  <si>
    <t>APP000422</t>
  </si>
  <si>
    <t>APP000246</t>
  </si>
  <si>
    <t>APP001020</t>
  </si>
  <si>
    <t>APP000211</t>
  </si>
  <si>
    <t>APP000330</t>
  </si>
  <si>
    <t>APP000928</t>
  </si>
  <si>
    <t>APP001056</t>
  </si>
  <si>
    <t>APP000172</t>
  </si>
  <si>
    <t>APP000257</t>
  </si>
  <si>
    <t>APP000545</t>
  </si>
  <si>
    <t>APP000843</t>
  </si>
  <si>
    <t>APP000465</t>
  </si>
  <si>
    <t>APP000134</t>
  </si>
  <si>
    <t>APP000799</t>
  </si>
  <si>
    <t>APP000702</t>
  </si>
  <si>
    <t>APP000617</t>
  </si>
  <si>
    <t>APP000904</t>
  </si>
  <si>
    <t>APP000136</t>
  </si>
  <si>
    <t>APP000614</t>
  </si>
  <si>
    <t>APP000564</t>
  </si>
  <si>
    <t>APP000178</t>
  </si>
  <si>
    <t>APP000626</t>
  </si>
  <si>
    <t>APP001239</t>
  </si>
  <si>
    <t>APP001036</t>
  </si>
  <si>
    <t>APP000817</t>
  </si>
  <si>
    <t>APP000595</t>
  </si>
  <si>
    <t>APP000438</t>
  </si>
  <si>
    <t>APP000275</t>
  </si>
  <si>
    <t>APP000897</t>
  </si>
  <si>
    <t>APP000063</t>
  </si>
  <si>
    <t>APP000429</t>
  </si>
  <si>
    <t>APP000004</t>
  </si>
  <si>
    <t>APP000591</t>
  </si>
  <si>
    <t>APP000249</t>
  </si>
  <si>
    <t>APP000086</t>
  </si>
  <si>
    <t>APP000462</t>
  </si>
  <si>
    <t>APP000541</t>
  </si>
  <si>
    <t>APP000156</t>
  </si>
  <si>
    <t>APP000685</t>
  </si>
  <si>
    <t>APP000338</t>
  </si>
  <si>
    <t>APP000195</t>
  </si>
  <si>
    <t>APP000448</t>
  </si>
  <si>
    <t>APP000325</t>
  </si>
  <si>
    <t>APP000204</t>
  </si>
  <si>
    <t>APP000921</t>
  </si>
  <si>
    <t>APP000744</t>
  </si>
  <si>
    <t>APP001049</t>
  </si>
  <si>
    <t>APP000944</t>
  </si>
  <si>
    <t>APP000297</t>
  </si>
  <si>
    <t>APP000637</t>
  </si>
  <si>
    <t>APP000105</t>
  </si>
  <si>
    <t>APP000531</t>
  </si>
  <si>
    <t>APP000776</t>
  </si>
  <si>
    <t>APP000673</t>
  </si>
  <si>
    <t>APP000909</t>
  </si>
  <si>
    <t>APP000378</t>
  </si>
  <si>
    <t>APP001113</t>
  </si>
  <si>
    <t>APP000911</t>
  </si>
  <si>
    <t>APP001204</t>
  </si>
  <si>
    <t>APP000551</t>
  </si>
  <si>
    <t>APP000964</t>
  </si>
  <si>
    <t>APP000606</t>
  </si>
  <si>
    <t>APP000461</t>
  </si>
  <si>
    <t>APP000521</t>
  </si>
  <si>
    <t>APP000254</t>
  </si>
  <si>
    <t>APP000365</t>
  </si>
  <si>
    <t>APP000306</t>
  </si>
  <si>
    <t>APP000982</t>
  </si>
  <si>
    <t>APP000087</t>
  </si>
  <si>
    <t>APP000116</t>
  </si>
  <si>
    <t>APP000294</t>
  </si>
  <si>
    <t>APP000285</t>
  </si>
  <si>
    <t>APP000699</t>
  </si>
  <si>
    <t>APP000978</t>
  </si>
  <si>
    <t>APP000036</t>
  </si>
  <si>
    <t>APP000718</t>
  </si>
  <si>
    <t>APP000084</t>
  </si>
  <si>
    <t>APP000145</t>
  </si>
  <si>
    <t>APP000868</t>
  </si>
  <si>
    <t>APP001060</t>
  </si>
  <si>
    <t>APP000223</t>
  </si>
  <si>
    <t>APP000271</t>
  </si>
  <si>
    <t>APP000367</t>
  </si>
  <si>
    <t>APP000258</t>
  </si>
  <si>
    <t>APP000724</t>
  </si>
  <si>
    <t>APP000339</t>
  </si>
  <si>
    <t>APP000108</t>
  </si>
  <si>
    <t>APP000060</t>
  </si>
  <si>
    <t>APP000792</t>
  </si>
  <si>
    <t>APP000829</t>
  </si>
  <si>
    <t>APP001149</t>
  </si>
  <si>
    <t>APP000075</t>
  </si>
  <si>
    <t>APP000589</t>
  </si>
  <si>
    <t>APP000749</t>
  </si>
  <si>
    <t>APP000067</t>
  </si>
  <si>
    <t>APP000585</t>
  </si>
  <si>
    <t>APP000635</t>
  </si>
  <si>
    <t>APP000471</t>
  </si>
  <si>
    <t>APP001179</t>
  </si>
  <si>
    <t>APP000736</t>
  </si>
  <si>
    <t>APP000289</t>
  </si>
  <si>
    <t>APP000962</t>
  </si>
  <si>
    <t>APP000502</t>
  </si>
  <si>
    <t>APP001185</t>
  </si>
  <si>
    <t>APP001152</t>
  </si>
  <si>
    <t>APP000813</t>
  </si>
  <si>
    <t>APP000658</t>
  </si>
  <si>
    <t>APP000466</t>
  </si>
  <si>
    <t>APP000935</t>
  </si>
  <si>
    <t>APP001091</t>
  </si>
  <si>
    <t>APP000003</t>
  </si>
  <si>
    <t>APP001027</t>
  </si>
  <si>
    <t>APP000825</t>
  </si>
  <si>
    <t>APP000609</t>
  </si>
  <si>
    <t>APP000647</t>
  </si>
  <si>
    <t>APP000301</t>
  </si>
  <si>
    <t>APP001046</t>
  </si>
  <si>
    <t>APP000463</t>
  </si>
  <si>
    <t>APP000053</t>
  </si>
  <si>
    <t>APP000026</t>
  </si>
  <si>
    <t>APP000529</t>
  </si>
  <si>
    <t>APP000755</t>
  </si>
  <si>
    <t>APP000021</t>
  </si>
  <si>
    <t>APP000173</t>
  </si>
  <si>
    <t>APP000202</t>
  </si>
  <si>
    <t>APP001145</t>
  </si>
  <si>
    <t>APP000356</t>
  </si>
  <si>
    <t>APP000593</t>
  </si>
  <si>
    <t>APP000358</t>
  </si>
  <si>
    <t>APP000608</t>
  </si>
  <si>
    <t>APP001014</t>
  </si>
  <si>
    <t>APP000290</t>
  </si>
  <si>
    <t>APP000831</t>
  </si>
  <si>
    <t>APP000714</t>
  </si>
  <si>
    <t>APP000648</t>
  </si>
  <si>
    <t>APP001192</t>
  </si>
  <si>
    <t>APP000418</t>
  </si>
  <si>
    <t>APP000666</t>
  </si>
  <si>
    <t>APP000277</t>
  </si>
  <si>
    <t>APP000225</t>
  </si>
  <si>
    <t>APP000469</t>
  </si>
  <si>
    <t>APP000939</t>
  </si>
  <si>
    <t>APP000406</t>
  </si>
  <si>
    <t>APP000879</t>
  </si>
  <si>
    <t>APP001132</t>
  </si>
  <si>
    <t>APP000914</t>
  </si>
  <si>
    <t>APP000794</t>
  </si>
  <si>
    <t>APP000770</t>
  </si>
  <si>
    <t>APP000713</t>
  </si>
  <si>
    <t>APP000730</t>
  </si>
  <si>
    <t>APP001228</t>
  </si>
  <si>
    <t>APP001205</t>
  </si>
  <si>
    <t>APP000048</t>
  </si>
  <si>
    <t>APP000710</t>
  </si>
  <si>
    <t>APP000811</t>
  </si>
  <si>
    <t>APP000661</t>
  </si>
  <si>
    <t>APP000042</t>
  </si>
  <si>
    <t>APP000892</t>
  </si>
  <si>
    <t>APP000111</t>
  </si>
  <si>
    <t>APP000623</t>
  </si>
  <si>
    <t>APP001094</t>
  </si>
  <si>
    <t>APP000966</t>
  </si>
  <si>
    <t>APP000954</t>
  </si>
  <si>
    <t>APP000932</t>
  </si>
  <si>
    <t>APP000396</t>
  </si>
  <si>
    <t>APP000931</t>
  </si>
  <si>
    <t>APP000651</t>
  </si>
  <si>
    <t>APP000230</t>
  </si>
  <si>
    <t>APP000692</t>
  </si>
  <si>
    <t>APP000121</t>
  </si>
  <si>
    <t>APP000832</t>
  </si>
  <si>
    <t>APP000496</t>
  </si>
  <si>
    <t>APP000919</t>
  </si>
  <si>
    <t>APP000282</t>
  </si>
  <si>
    <t>APP000887</t>
  </si>
  <si>
    <t>APP000261</t>
  </si>
  <si>
    <t>APP000390</t>
  </si>
  <si>
    <t>APP000402</t>
  </si>
  <si>
    <t>APP001201</t>
  </si>
  <si>
    <t>APP000566</t>
  </si>
  <si>
    <t>APP001075</t>
  </si>
  <si>
    <t>APP000993</t>
  </si>
  <si>
    <t>APP000923</t>
  </si>
  <si>
    <t>APP000655</t>
  </si>
  <si>
    <t>APP000280</t>
  </si>
  <si>
    <t>APP000683</t>
  </si>
  <si>
    <t>APP000405</t>
  </si>
  <si>
    <t>APP000734</t>
  </si>
  <si>
    <t>APP000999</t>
  </si>
  <si>
    <t>APP000694</t>
  </si>
  <si>
    <t>APP000349</t>
  </si>
  <si>
    <t>APP000627</t>
  </si>
  <si>
    <t>APP000636</t>
  </si>
  <si>
    <t>APP000133</t>
  </si>
  <si>
    <t>APP000729</t>
  </si>
  <si>
    <t>APP000320</t>
  </si>
  <si>
    <t>APP001194</t>
  </si>
  <si>
    <t>APP000948</t>
  </si>
  <si>
    <t>APP001153</t>
  </si>
  <si>
    <t>APP000392</t>
  </si>
  <si>
    <t>APP001244</t>
  </si>
  <si>
    <t>APP000423</t>
  </si>
  <si>
    <t>APP000801</t>
  </si>
  <si>
    <t>APP000556</t>
  </si>
  <si>
    <t>APP001171</t>
  </si>
  <si>
    <t>APP000149</t>
  </si>
  <si>
    <t>APP000559</t>
  </si>
  <si>
    <t>APP001133</t>
  </si>
  <si>
    <t>APP001112</t>
  </si>
  <si>
    <t>APP001110</t>
  </si>
  <si>
    <t>APP001224</t>
  </si>
  <si>
    <t>APP000372</t>
  </si>
  <si>
    <t>APP000234</t>
  </si>
  <si>
    <t>APP000388</t>
  </si>
  <si>
    <t>APP000256</t>
  </si>
  <si>
    <t>APP000078</t>
  </si>
  <si>
    <t>APP000775</t>
  </si>
  <si>
    <t>APP000073</t>
  </si>
  <si>
    <t>APP000641</t>
  </si>
  <si>
    <t>APP000253</t>
  </si>
  <si>
    <t>APP000263</t>
  </si>
  <si>
    <t>APP000874</t>
  </si>
  <si>
    <t>APP000453</t>
  </si>
  <si>
    <t>APP000848</t>
  </si>
  <si>
    <t>APP000473</t>
  </si>
  <si>
    <t>APP000764</t>
  </si>
  <si>
    <t>APP000841</t>
  </si>
  <si>
    <t>APP001087</t>
  </si>
  <si>
    <t>APP000409</t>
  </si>
  <si>
    <t>APP000590</t>
  </si>
  <si>
    <t>APP000743</t>
  </si>
  <si>
    <t>APP000777</t>
  </si>
  <si>
    <t>APP001057</t>
  </si>
  <si>
    <t>APP000128</t>
  </si>
  <si>
    <t>APP001172</t>
  </si>
  <si>
    <t>APP000069</t>
  </si>
  <si>
    <t>APP000890</t>
  </si>
  <si>
    <t>APP001232</t>
  </si>
  <si>
    <t>APP001092</t>
  </si>
  <si>
    <t>APP000601</t>
  </si>
  <si>
    <t>APP000394</t>
  </si>
  <si>
    <t>APP000526</t>
  </si>
  <si>
    <t>APP000955</t>
  </si>
  <si>
    <t>APP000523</t>
  </si>
  <si>
    <t>APP000989</t>
  </si>
  <si>
    <t>APP001206</t>
  </si>
  <si>
    <t>APP000355</t>
  </si>
  <si>
    <t>APP000872</t>
  </si>
  <si>
    <t>APP001043</t>
  </si>
  <si>
    <t>APP000767</t>
  </si>
  <si>
    <t>APP001126</t>
  </si>
  <si>
    <t>APP000387</t>
  </si>
  <si>
    <t>APP000169</t>
  </si>
  <si>
    <t>APP000632</t>
  </si>
  <si>
    <t>APP000484</t>
  </si>
  <si>
    <t>APP000362</t>
  </si>
  <si>
    <t>APP000857</t>
  </si>
  <si>
    <t>APP000336</t>
  </si>
  <si>
    <t>APP000838</t>
  </si>
  <si>
    <t>APP001247</t>
  </si>
  <si>
    <t>APP000763</t>
  </si>
  <si>
    <t>APP000304</t>
  </si>
  <si>
    <t>APP001035</t>
  </si>
  <si>
    <t>APP000420</t>
  </si>
  <si>
    <t>APP000472</t>
  </si>
  <si>
    <t>APP000507</t>
  </si>
  <si>
    <t>APP000598</t>
  </si>
  <si>
    <t>APP000029</t>
  </si>
  <si>
    <t>APP000527</t>
  </si>
  <si>
    <t>APP000159</t>
  </si>
  <si>
    <t>APP000869</t>
  </si>
  <si>
    <t>APP000967</t>
  </si>
  <si>
    <t>APP001105</t>
  </si>
  <si>
    <t>APP000193</t>
  </si>
  <si>
    <t>APP001245</t>
  </si>
  <si>
    <t>APP001154</t>
  </si>
  <si>
    <t>APP000827</t>
  </si>
  <si>
    <t>APP000025</t>
  </si>
  <si>
    <t>APP000109</t>
  </si>
  <si>
    <t>APP000607</t>
  </si>
  <si>
    <t>APP000670</t>
  </si>
  <si>
    <t>APP001168</t>
  </si>
  <si>
    <t>APP000574</t>
  </si>
  <si>
    <t>APP000292</t>
  </si>
  <si>
    <t>APP000035</t>
  </si>
  <si>
    <t>APP000630</t>
  </si>
  <si>
    <t>APP001189</t>
  </si>
  <si>
    <t>APP000837</t>
  </si>
  <si>
    <t>Current Tenant</t>
  </si>
  <si>
    <t>APP000371</t>
  </si>
  <si>
    <t>APP000918</t>
  </si>
  <si>
    <t>APP000569</t>
  </si>
  <si>
    <t>APP000761</t>
  </si>
  <si>
    <t>APP000273</t>
  </si>
  <si>
    <t>APP000348</t>
  </si>
  <si>
    <t>APP000536</t>
  </si>
  <si>
    <t>APP001142</t>
  </si>
  <si>
    <t>APP001155</t>
  </si>
  <si>
    <t>APP000359</t>
  </si>
  <si>
    <t>APP001134</t>
  </si>
  <si>
    <t>APP000495</t>
  </si>
  <si>
    <t>APP000633</t>
  </si>
  <si>
    <t>APP000941</t>
  </si>
  <si>
    <t>APP001129</t>
  </si>
  <si>
    <t>APP000327</t>
  </si>
  <si>
    <t>APP001216</t>
  </si>
  <si>
    <t>APP000185</t>
  </si>
  <si>
    <t>APP000605</t>
  </si>
  <si>
    <t>APP000058</t>
  </si>
  <si>
    <t>APP000323</t>
  </si>
  <si>
    <t>APP001055</t>
  </si>
  <si>
    <t>APP000893</t>
  </si>
  <si>
    <t>APP001024</t>
  </si>
  <si>
    <t>APP000034</t>
  </si>
  <si>
    <t>APP000930</t>
  </si>
  <si>
    <t>APP000653</t>
  </si>
  <si>
    <t>APP000787</t>
  </si>
  <si>
    <t>APP000043</t>
  </si>
  <si>
    <t>APP000090</t>
  </si>
  <si>
    <t>APP001235</t>
  </si>
  <si>
    <t>APP001068</t>
  </si>
  <si>
    <t>APP000580</t>
  </si>
  <si>
    <t>APP001021</t>
  </si>
  <si>
    <t>APP000132</t>
  </si>
  <si>
    <t>APP000384</t>
  </si>
  <si>
    <t>APP000321</t>
  </si>
  <si>
    <t>APP000951</t>
  </si>
  <si>
    <t>APP000055</t>
  </si>
  <si>
    <t>APP000960</t>
  </si>
  <si>
    <t>APP000974</t>
  </si>
  <si>
    <t>APP001023</t>
  </si>
  <si>
    <t>APP001143</t>
  </si>
  <si>
    <t>APP000981</t>
  </si>
  <si>
    <t>APP000552</t>
  </si>
  <si>
    <t>APP000628</t>
  </si>
  <si>
    <t>APP000315</t>
  </si>
  <si>
    <t>APP000276</t>
  </si>
  <si>
    <t>APP001170</t>
  </si>
  <si>
    <t>APP000057</t>
  </si>
  <si>
    <t>APP001016</t>
  </si>
  <si>
    <t>APP000571</t>
  </si>
  <si>
    <t>APP001007</t>
  </si>
  <si>
    <t>APP000984</t>
  </si>
  <si>
    <t>APP001123</t>
  </si>
  <si>
    <t>APP000151</t>
  </si>
  <si>
    <t>APP000125</t>
  </si>
  <si>
    <t>APP001114</t>
  </si>
  <si>
    <t>APP000894</t>
  </si>
  <si>
    <t>APP000560</t>
  </si>
  <si>
    <t>APP001165</t>
  </si>
  <si>
    <t>APP000839</t>
  </si>
  <si>
    <t>APP000040</t>
  </si>
  <si>
    <t>APP000597</t>
  </si>
  <si>
    <t>APP000522</t>
  </si>
  <si>
    <t>APP000400</t>
  </si>
  <si>
    <t>APP000528</t>
  </si>
  <si>
    <t>APP000220</t>
  </si>
  <si>
    <t>APP000066</t>
  </si>
  <si>
    <t>APP000032</t>
  </si>
  <si>
    <t>APP000873</t>
  </si>
  <si>
    <t>APP000052</t>
  </si>
  <si>
    <t>APP001213</t>
  </si>
  <si>
    <t>APP000689</t>
  </si>
  <si>
    <t>APP000492</t>
  </si>
  <si>
    <t>APP000983</t>
  </si>
  <si>
    <t>APP001093</t>
  </si>
  <si>
    <t>APP000850</t>
  </si>
  <si>
    <t>APP000929</t>
  </si>
  <si>
    <t>APP000103</t>
  </si>
  <si>
    <t>APP000342</t>
  </si>
  <si>
    <t>APP000903</t>
  </si>
  <si>
    <t>APP000478</t>
  </si>
  <si>
    <t>APP000844</t>
  </si>
  <si>
    <t>APP000820</t>
  </si>
  <si>
    <t>APP000435</t>
  </si>
  <si>
    <t>APP000925</t>
  </si>
  <si>
    <t>APP000102</t>
  </si>
  <si>
    <t>APP000376</t>
  </si>
  <si>
    <t>APP000851</t>
  </si>
  <si>
    <t>APP001005</t>
  </si>
  <si>
    <t>APP000506</t>
  </si>
  <si>
    <t>APP000490</t>
  </si>
  <si>
    <t>APP000497</t>
  </si>
  <si>
    <t>APP000222</t>
  </si>
  <si>
    <t>APP000513</t>
  </si>
  <si>
    <t>APP000976</t>
  </si>
  <si>
    <t>APP001197</t>
  </si>
  <si>
    <t>APP000081</t>
  </si>
  <si>
    <t>APP001243</t>
  </si>
  <si>
    <t>APP000259</t>
  </si>
  <si>
    <t>APP000934</t>
  </si>
  <si>
    <t>APP000561</t>
  </si>
  <si>
    <t>APP001218</t>
  </si>
  <si>
    <t>APP000973</t>
  </si>
  <si>
    <t>APP000870</t>
  </si>
  <si>
    <t>APP001026</t>
  </si>
  <si>
    <t>APP000354</t>
  </si>
  <si>
    <t>APP001107</t>
  </si>
  <si>
    <t>APP000150</t>
  </si>
  <si>
    <t>APP000089</t>
  </si>
  <si>
    <t>APP000437</t>
  </si>
  <si>
    <t>APP000361</t>
  </si>
  <si>
    <t>APP001241</t>
  </si>
  <si>
    <t>APP000771</t>
  </si>
  <si>
    <t>APP000677</t>
  </si>
  <si>
    <t>APP001159</t>
  </si>
  <si>
    <t>APP000217</t>
  </si>
  <si>
    <t>APP000074</t>
  </si>
  <si>
    <t>APP001080</t>
  </si>
  <si>
    <t>APP000395</t>
  </si>
  <si>
    <t>APP000735</t>
  </si>
  <si>
    <t>APP000192</t>
  </si>
  <si>
    <t>APP000247</t>
  </si>
  <si>
    <t>APP000779</t>
  </si>
  <si>
    <t>APP001226</t>
  </si>
  <si>
    <t>APP000625</t>
  </si>
  <si>
    <t>APP000508</t>
  </si>
  <si>
    <t>APP001230</t>
  </si>
  <si>
    <t>APP000403</t>
  </si>
  <si>
    <t>APP000615</t>
  </si>
  <si>
    <t>APP000328</t>
  </si>
  <si>
    <t>APP000213</t>
  </si>
  <si>
    <t>APP000180</t>
  </si>
  <si>
    <t>APP000483</t>
  </si>
  <si>
    <t>APP000803</t>
  </si>
  <si>
    <t>APP001013</t>
  </si>
  <si>
    <t>APP000994</t>
  </si>
  <si>
    <t>APP000393</t>
  </si>
  <si>
    <t>APP000762</t>
  </si>
  <si>
    <t>APP000707</t>
  </si>
  <si>
    <t>APP000864</t>
  </si>
  <si>
    <t>APP000846</t>
  </si>
  <si>
    <t>APP001128</t>
  </si>
  <si>
    <t>APP000187</t>
  </si>
  <si>
    <t>APP000768</t>
  </si>
  <si>
    <t>APP000337</t>
  </si>
  <si>
    <t>APP000898</t>
  </si>
  <si>
    <t>APP000333</t>
  </si>
  <si>
    <t>APP000783</t>
  </si>
  <si>
    <t>APP001104</t>
  </si>
  <si>
    <t>APP001184</t>
  </si>
  <si>
    <t>APP000433</t>
  </si>
  <si>
    <t>APP001010</t>
  </si>
  <si>
    <t>APP000826</t>
  </si>
  <si>
    <t>APP000482</t>
  </si>
  <si>
    <t>APP000814</t>
  </si>
  <si>
    <t>APP000956</t>
  </si>
  <si>
    <t>APP001108</t>
  </si>
  <si>
    <t>APP000486</t>
  </si>
  <si>
    <t>APP000687</t>
  </si>
  <si>
    <t>APP001227</t>
  </si>
  <si>
    <t>APP000498</t>
  </si>
  <si>
    <t>APP001008</t>
  </si>
  <si>
    <t>APP000252</t>
  </si>
  <si>
    <t>APP000018</t>
  </si>
  <si>
    <t>APP001166</t>
  </si>
  <si>
    <t>APP000489</t>
  </si>
  <si>
    <t>APP000576</t>
  </si>
  <si>
    <t>APP000399</t>
  </si>
  <si>
    <t>APP001063</t>
  </si>
  <si>
    <t>APP000530</t>
  </si>
  <si>
    <t>APP000200</t>
  </si>
  <si>
    <t>APP000009</t>
  </si>
  <si>
    <t>APP000100</t>
  </si>
  <si>
    <t>APP000024</t>
  </si>
  <si>
    <t>APP001130</t>
  </si>
  <si>
    <t>APP000226</t>
  </si>
  <si>
    <t>APP000146</t>
  </si>
  <si>
    <t>APP000186</t>
  </si>
  <si>
    <t>APP000300</t>
  </si>
  <si>
    <t>APP001181</t>
  </si>
  <si>
    <t>APP000920</t>
  </si>
  <si>
    <t>APP000442</t>
  </si>
  <si>
    <t>APP000720</t>
  </si>
  <si>
    <t>APP000631</t>
  </si>
  <si>
    <t>APP001081</t>
  </si>
  <si>
    <t>APP000456</t>
  </si>
  <si>
    <t>APP001111</t>
  </si>
  <si>
    <t>APP000309</t>
  </si>
  <si>
    <t>APP000570</t>
  </si>
  <si>
    <t>APP000088</t>
  </si>
  <si>
    <t>APP000516</t>
  </si>
  <si>
    <t>APP000693</t>
  </si>
  <si>
    <t>APP001147</t>
  </si>
  <si>
    <t>APP001225</t>
  </si>
  <si>
    <t>APP000317</t>
  </si>
  <si>
    <t>APP000408</t>
  </si>
  <si>
    <t>APP001190</t>
  </si>
  <si>
    <t>APP001101</t>
  </si>
  <si>
    <t>APP001097</t>
  </si>
  <si>
    <t>APP001210</t>
  </si>
  <si>
    <t>APP000895</t>
  </si>
  <si>
    <t>APP000184</t>
  </si>
  <si>
    <t>APP000385</t>
  </si>
  <si>
    <t>APP001121</t>
  </si>
  <si>
    <t>APP000742</t>
  </si>
  <si>
    <t>APP000579</t>
  </si>
  <si>
    <t>APP000882</t>
  </si>
  <si>
    <t>APP000370</t>
  </si>
  <si>
    <t>APP000112</t>
  </si>
  <si>
    <t>APP000583</t>
  </si>
  <si>
    <t>APP001240</t>
  </si>
  <si>
    <t>APP000588</t>
  </si>
  <si>
    <t>APP000757</t>
  </si>
  <si>
    <t>APP000503</t>
  </si>
  <si>
    <t>APP000380</t>
  </si>
  <si>
    <t>APP001220</t>
  </si>
  <si>
    <t>APP000373</t>
  </si>
  <si>
    <t>APP001237</t>
  </si>
  <si>
    <t>APP000739</t>
  </si>
  <si>
    <t>APP000795</t>
  </si>
  <si>
    <t>APP000279</t>
  </si>
  <si>
    <t>APP000152</t>
  </si>
  <si>
    <t>APP000731</t>
  </si>
  <si>
    <t>APP000467</t>
  </si>
  <si>
    <t>APP000859</t>
  </si>
  <si>
    <t>APP000669</t>
  </si>
  <si>
    <t>APP000949</t>
  </si>
  <si>
    <t>APP000308</t>
  </si>
  <si>
    <t>APP000411</t>
  </si>
  <si>
    <t>APP000917</t>
  </si>
  <si>
    <t>APP001183</t>
  </si>
  <si>
    <t>APP000789</t>
  </si>
  <si>
    <t>APP000412</t>
  </si>
  <si>
    <t>APP000754</t>
  </si>
  <si>
    <t>APP000454</t>
  </si>
  <si>
    <t>APP000691</t>
  </si>
  <si>
    <t>APP001180</t>
  </si>
  <si>
    <t>APP000206</t>
  </si>
  <si>
    <t>APP001018</t>
  </si>
  <si>
    <t>APP001084</t>
  </si>
  <si>
    <t>APP000885</t>
  </si>
  <si>
    <t>APP001019</t>
  </si>
  <si>
    <t>APP000457</t>
  </si>
  <si>
    <t>APP000835</t>
  </si>
  <si>
    <t>APP000620</t>
  </si>
  <si>
    <t>APP001067</t>
  </si>
  <si>
    <t>APP000198</t>
  </si>
  <si>
    <t>APP000020</t>
  </si>
  <si>
    <t>APP000460</t>
  </si>
  <si>
    <t>APP000708</t>
  </si>
  <si>
    <t>APP000690</t>
  </si>
  <si>
    <t>APP000594</t>
  </si>
  <si>
    <t>APP000154</t>
  </si>
  <si>
    <t>APP001102</t>
  </si>
  <si>
    <t>APP001071</t>
  </si>
  <si>
    <t>APP001106</t>
  </si>
  <si>
    <t>APP000054</t>
  </si>
  <si>
    <t>APP000114</t>
  </si>
  <si>
    <t>APP001167</t>
  </si>
  <si>
    <t>APP001095</t>
  </si>
  <si>
    <t>APP000634</t>
  </si>
  <si>
    <t>APP001006</t>
  </si>
  <si>
    <t>APP000715</t>
  </si>
  <si>
    <t>APP000525</t>
  </si>
  <si>
    <t>APP000980</t>
  </si>
  <si>
    <t>APP001030</t>
  </si>
  <si>
    <t>APP000773</t>
  </si>
  <si>
    <t>APP000224</t>
  </si>
  <si>
    <t>APP000840</t>
  </si>
  <si>
    <t>APP000432</t>
  </si>
  <si>
    <t>APP000450</t>
  </si>
  <si>
    <t>APP000818</t>
  </si>
  <si>
    <t>APP000861</t>
  </si>
  <si>
    <t>APP000922</t>
  </si>
  <si>
    <t>APP000262</t>
  </si>
  <si>
    <t>APP001076</t>
  </si>
  <si>
    <t>APP000266</t>
  </si>
  <si>
    <t>APP000082</t>
  </si>
  <si>
    <t>APP000038</t>
  </si>
  <si>
    <t>APP000910</t>
  </si>
  <si>
    <t>APP000581</t>
  </si>
  <si>
    <t>APP001222</t>
  </si>
  <si>
    <t>APP001234</t>
  </si>
  <si>
    <t>APP000347</t>
  </si>
  <si>
    <t>APP000908</t>
  </si>
  <si>
    <t>APP000807</t>
  </si>
  <si>
    <t>APP000518</t>
  </si>
  <si>
    <t>APP000782</t>
  </si>
  <si>
    <t>APP000065</t>
  </si>
  <si>
    <t>APP000203</t>
  </si>
  <si>
    <t>APP000992</t>
  </si>
  <si>
    <t>APP000446</t>
  </si>
  <si>
    <t>APP000452</t>
  </si>
  <si>
    <t>APP000596</t>
  </si>
  <si>
    <t>APP000587</t>
  </si>
  <si>
    <t>APP000410</t>
  </si>
  <si>
    <t>APP000550</t>
  </si>
  <si>
    <t>APP000913</t>
  </si>
  <si>
    <t>APP000485</t>
  </si>
  <si>
    <t>APP000188</t>
  </si>
  <si>
    <t>APP000510</t>
  </si>
  <si>
    <t>APP000104</t>
  </si>
  <si>
    <t>APP000969</t>
  </si>
  <si>
    <t>APP000733</t>
  </si>
  <si>
    <t>APP000667</t>
  </si>
  <si>
    <t>APP000867</t>
  </si>
  <si>
    <t>APP000709</t>
  </si>
  <si>
    <t>APP000760</t>
  </si>
  <si>
    <t>APP000533</t>
  </si>
  <si>
    <t>APP000344</t>
  </si>
  <si>
    <t>APP000752</t>
  </si>
  <si>
    <t>APP000987</t>
  </si>
  <si>
    <t>APP000816</t>
  </si>
  <si>
    <t>APP000177</t>
  </si>
  <si>
    <t>APP000179</t>
  </si>
  <si>
    <t>APP000849</t>
  </si>
  <si>
    <t>APP000415</t>
  </si>
  <si>
    <t>APP000629</t>
  </si>
  <si>
    <t>APP000547</t>
  </si>
  <si>
    <t>APP001116</t>
  </si>
  <si>
    <t>APP000459</t>
  </si>
  <si>
    <t>APP000143</t>
  </si>
  <si>
    <t>APP000430</t>
  </si>
  <si>
    <t>APP000618</t>
  </si>
  <si>
    <t>APP001066</t>
  </si>
  <si>
    <t>APP000237</t>
  </si>
  <si>
    <t>APP000493</t>
  </si>
  <si>
    <t>APP000674</t>
  </si>
  <si>
    <t>APP000668</t>
  </si>
  <si>
    <t>APP001079</t>
  </si>
  <si>
    <t>APP000215</t>
  </si>
  <si>
    <t>APP000965</t>
  </si>
  <si>
    <t>APP001139</t>
  </si>
  <si>
    <t>APP000815</t>
  </si>
  <si>
    <t>APP000926</t>
  </si>
  <si>
    <t>APP000586</t>
  </si>
  <si>
    <t>APP000836</t>
  </si>
  <si>
    <t>APP000646</t>
  </si>
  <si>
    <t>APP000464</t>
  </si>
  <si>
    <t>APP000796</t>
  </si>
  <si>
    <t>APP000174</t>
  </si>
  <si>
    <t>APP000504</t>
  </si>
  <si>
    <t>APP000214</t>
  </si>
  <si>
    <t>APP001182</t>
  </si>
  <si>
    <t>APP000139</t>
  </si>
  <si>
    <t>APP000227</t>
  </si>
  <si>
    <t>APP001193</t>
  </si>
  <si>
    <t>APP000603</t>
  </si>
  <si>
    <t>APP000875</t>
  </si>
  <si>
    <t>APP000500</t>
  </si>
  <si>
    <t>APP000616</t>
  </si>
  <si>
    <t>APP000129</t>
  </si>
  <si>
    <t>APP000296</t>
  </si>
  <si>
    <t>APP001012</t>
  </si>
  <si>
    <t>APP000833</t>
  </si>
  <si>
    <t>APP000577</t>
  </si>
  <si>
    <t>APP001083</t>
  </si>
  <si>
    <t>APP000663</t>
  </si>
  <si>
    <t>APP000619</t>
  </si>
  <si>
    <t>APP000758</t>
  </si>
  <si>
    <t>APP000678</t>
  </si>
  <si>
    <t>APP001000</t>
  </si>
  <si>
    <t>APP000094</t>
  </si>
  <si>
    <t>APP000738</t>
  </si>
  <si>
    <t>APP000600</t>
  </si>
  <si>
    <t>APP000436</t>
  </si>
  <si>
    <t>APP000853</t>
  </si>
  <si>
    <t>APP000769</t>
  </si>
  <si>
    <t>APP000938</t>
  </si>
  <si>
    <t>APP001209</t>
  </si>
  <si>
    <t>APP000905</t>
  </si>
  <si>
    <t>APP000810</t>
  </si>
  <si>
    <t>APP000788</t>
  </si>
  <si>
    <t>APP000080</t>
  </si>
  <si>
    <t>APP000737</t>
  </si>
  <si>
    <t>APP001215</t>
  </si>
  <si>
    <t>APP000117</t>
  </si>
  <si>
    <t>APP000961</t>
  </si>
  <si>
    <t>APP000856</t>
  </si>
  <si>
    <t>APP000238</t>
  </si>
  <si>
    <t>APP001072</t>
  </si>
  <si>
    <t>APP000455</t>
  </si>
  <si>
    <t>APP000015</t>
  </si>
  <si>
    <t>APP001096</t>
  </si>
  <si>
    <t>APP000295</t>
  </si>
  <si>
    <t>APP000573</t>
  </si>
  <si>
    <t>APP000270</t>
  </si>
  <si>
    <t>APP000391</t>
  </si>
  <si>
    <t>APP001136</t>
  </si>
  <si>
    <t>APP000119</t>
  </si>
  <si>
    <t>APP000828</t>
  </si>
  <si>
    <t>APP000122</t>
  </si>
  <si>
    <t>APP000241</t>
  </si>
  <si>
    <t>APP000822</t>
  </si>
  <si>
    <t>APP000812</t>
  </si>
  <si>
    <t>APP000360</t>
  </si>
  <si>
    <t>APP000093</t>
  </si>
  <si>
    <t>APP000414</t>
  </si>
  <si>
    <t>APP000374</t>
  </si>
  <si>
    <t>APP001187</t>
  </si>
  <si>
    <t>APP001069</t>
  </si>
  <si>
    <t>APP000171</t>
  </si>
  <si>
    <t>APP000780</t>
  </si>
  <si>
    <t>APP000419</t>
  </si>
  <si>
    <t>APP000611</t>
  </si>
  <si>
    <t>APP000153</t>
  </si>
  <si>
    <t>APP000445</t>
  </si>
  <si>
    <t>APP000786</t>
  </si>
  <si>
    <t>APP000753</t>
  </si>
  <si>
    <t>APP000382</t>
  </si>
  <si>
    <t># Peachtree Property Partners - Historical Tenant Data Dictionary</t>
  </si>
  <si>
    <t>## Dataset Overview</t>
  </si>
  <si>
    <t>- **Records**: 1,250 (includes 3 duplicates for data quality training)</t>
  </si>
  <si>
    <t>- **Time Period**: January 2019 - October 2024</t>
  </si>
  <si>
    <t>- **Geographic Coverage**: Fulton, DeKalb, and Gwinnett Counties, Georgia</t>
  </si>
  <si>
    <t>- **Purpose**: Educational synthetic dataset for AI/ML training</t>
  </si>
  <si>
    <t>## Field Descriptions</t>
  </si>
  <si>
    <t>### Identification Fields</t>
  </si>
  <si>
    <t>- **applicant_id**: Unique identifier (APP000001 - APP001247 + duplicates)</t>
  </si>
  <si>
    <t>- **application_date**: Date rental application submitted (YYYY-MM-DD)</t>
  </si>
  <si>
    <t>### Geographic Information</t>
  </si>
  <si>
    <t>- **county**: County where property located (Fulton, DeKalb, Gwinnett)</t>
  </si>
  <si>
    <t>- **zip_code**: Property zip code (affects demographics and approval patterns)</t>
  </si>
  <si>
    <t>### Applicant Demographics</t>
  </si>
  <si>
    <t>- **age**: Applicant age in years (21-75)</t>
  </si>
  <si>
    <t>### Financial Information</t>
  </si>
  <si>
    <t>- **credit_score**: Credit score (300-850 valid range, includes some invalid entries)</t>
  </si>
  <si>
    <t>- **credit_bureau**: Source of credit score (Experian, TransUnion, Equifax, FICO)</t>
  </si>
  <si>
    <t>- **annual_income**: Stated annual income (before verification)</t>
  </si>
  <si>
    <t>- **annual_income_verified**: Verified annual income (23% missing - data quality issue)</t>
  </si>
  <si>
    <t>- **monthly_rent_applied**: Monthly rent amount for unit applied for</t>
  </si>
  <si>
    <t>- **rent_to_income_ratio**: Calculated ratio (monthly_rent / monthly_income)</t>
  </si>
  <si>
    <t>### Employment Information</t>
  </si>
  <si>
    <t>- **employment_status**: Employment type (Full-time, Part-time, Self-employed, etc.)</t>
  </si>
  <si>
    <t>- **employment_status_complete**: Same as above but 8% missing (data quality issue)</t>
  </si>
  <si>
    <t>- **employment_length_years**: Years in current employment</t>
  </si>
  <si>
    <t>- **num_previous_addresses**: Number of previous residential addresses</t>
  </si>
  <si>
    <t>### Rental History</t>
  </si>
  <si>
    <t>- **has_previous_eviction**: Boolean - any previous evictions on record</t>
  </si>
  <si>
    <t>- **rental_history_years**: Years of verifiable rental history</t>
  </si>
  <si>
    <t>- **num_references**: Number of references provided (0-4)</t>
  </si>
  <si>
    <t>### Application Outcome</t>
  </si>
  <si>
    <t>- **application_status**: Approved or Denied</t>
  </si>
  <si>
    <t>### Tenant Performance (Approved Applicants Only)</t>
  </si>
  <si>
    <t>- **months_as_tenant**: Length of tenancy in months (NULL for denied)</t>
  </si>
  <si>
    <t>- **late_payment_count**: Number of late rent payments (NULL for denied)</t>
  </si>
  <si>
    <t>- **total_payment_count**: Total payments made (NULL for denied)</t>
  </si>
  <si>
    <t>- **lease_violations**: Number of lease violations (NULL for denied)</t>
  </si>
  <si>
    <t>- **early_termination**: Boolean - terminated lease early (NULL for denied)</t>
  </si>
  <si>
    <t>- **final_outcome**: Current status (Current Tenant, Moved Out - Lease End, Moved Out - Early, Application Denied)</t>
  </si>
  <si>
    <t>Get to know peachtree_tenant_data</t>
  </si>
  <si>
    <t>number of rows</t>
  </si>
  <si>
    <t>number of columns</t>
  </si>
  <si>
    <t>Halima Alausa</t>
  </si>
  <si>
    <t>halausa1</t>
  </si>
  <si>
    <t>Welcome to Microsoft Excel version 16.0 build 19628 running on Windows (64-bit) NT 10.00!</t>
  </si>
  <si>
    <t>C:\Users\halau\AppData\Local\Temp</t>
  </si>
  <si>
    <t>S04</t>
  </si>
  <si>
    <t>Start S04</t>
  </si>
  <si>
    <t>Halima Alausa started S04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</si>
</sst>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[$-F800]dddd\,\ mmmm\ dd\,\ yyyy"/>
    <numFmt numFmtId="168" formatCode="0.0"/>
    <numFmt numFmtId="169" formatCode="0.000"/>
    <numFmt numFmtId="170" formatCode="dd\-mmm\-yyyy\ hh:mm"/>
    <numFmt numFmtId="171" formatCode="[$-409]d\-mmm\-yyyy;@"/>
  </numFmts>
  <fonts count="4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i/>
      <sz val="11"/>
      <color theme="9" tint="0.59999389629810485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i/>
      <sz val="10"/>
      <color theme="4" tint="0.59999389629810485"/>
      <name val="Calibri"/>
      <family val="2"/>
      <scheme val="minor"/>
    </font>
    <font>
      <sz val="11"/>
      <color theme="1"/>
      <name val="Calibri"/>
      <family val="2"/>
    </font>
    <font>
      <sz val="11"/>
      <color theme="0" tint="-4.9989318521683403E-2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entury Schoolbook"/>
      <family val="1"/>
    </font>
    <font>
      <sz val="11"/>
      <color theme="1"/>
      <name val="Bell MT"/>
      <family val="1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9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vertAlign val="superscript"/>
      <sz val="11"/>
      <color theme="1"/>
      <name val="Calibri Light"/>
      <family val="2"/>
    </font>
    <font>
      <b/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b/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1"/>
      <color rgb="FF002060"/>
      <name val="Calibri"/>
      <family val="2"/>
    </font>
    <font>
      <i/>
      <sz val="11"/>
      <color theme="0" tint="-0.499984740745262"/>
      <name val="Calibri"/>
      <family val="2"/>
      <scheme val="minor"/>
    </font>
    <font>
      <i/>
      <sz val="11"/>
      <color theme="4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26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21" fillId="0" borderId="0" xfId="0" applyFont="1" applyAlignment="1">
      <alignment horizontal="right"/>
    </xf>
    <xf numFmtId="0" fontId="23" fillId="0" borderId="0" xfId="0" applyFont="1"/>
    <xf numFmtId="0" fontId="2" fillId="4" borderId="0" xfId="0" applyFont="1" applyFill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2" fillId="0" borderId="0" xfId="0" applyFont="1" applyAlignment="1">
      <alignment wrapText="1"/>
    </xf>
    <xf numFmtId="0" fontId="2" fillId="6" borderId="0" xfId="0" applyFont="1" applyFill="1" applyAlignment="1">
      <alignment wrapText="1"/>
    </xf>
    <xf numFmtId="2" fontId="0" fillId="4" borderId="0" xfId="0" quotePrefix="1" applyNumberFormat="1" applyFill="1" applyProtection="1">
      <protection locked="0"/>
    </xf>
    <xf numFmtId="0" fontId="2" fillId="4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7" fillId="5" borderId="0" xfId="0" applyFont="1" applyFill="1" applyProtection="1">
      <protection hidden="1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20" fillId="0" borderId="0" xfId="0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20" fillId="0" borderId="0" xfId="0" applyFont="1" applyProtection="1">
      <protection hidden="1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0" fontId="0" fillId="2" borderId="2" xfId="0" applyFill="1" applyBorder="1" applyAlignment="1" applyProtection="1">
      <alignment horizontal="center" vertical="center" wrapText="1"/>
      <protection hidden="1"/>
    </xf>
    <xf numFmtId="168" fontId="0" fillId="2" borderId="2" xfId="0" applyNumberFormat="1" applyFill="1" applyBorder="1" applyAlignment="1" applyProtection="1">
      <alignment horizontal="center" vertical="center" wrapText="1"/>
      <protection hidden="1"/>
    </xf>
    <xf numFmtId="0" fontId="0" fillId="2" borderId="2" xfId="0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2" fillId="4" borderId="0" xfId="0" applyFont="1" applyFill="1"/>
    <xf numFmtId="0" fontId="23" fillId="0" borderId="0" xfId="0" applyFont="1" applyProtection="1">
      <protection locked="0"/>
    </xf>
    <xf numFmtId="0" fontId="1" fillId="5" borderId="0" xfId="0" applyFont="1" applyFill="1" applyProtection="1">
      <protection hidden="1"/>
    </xf>
    <xf numFmtId="49" fontId="0" fillId="3" borderId="1" xfId="0" applyNumberFormat="1" applyFill="1" applyBorder="1"/>
    <xf numFmtId="0" fontId="1" fillId="0" borderId="0" xfId="0" applyFont="1" applyProtection="1">
      <protection locked="0" hidden="1"/>
    </xf>
    <xf numFmtId="167" fontId="0" fillId="0" borderId="0" xfId="0" applyNumberFormat="1" applyAlignment="1">
      <alignment horizontal="center"/>
    </xf>
    <xf numFmtId="2" fontId="0" fillId="0" borderId="0" xfId="0" quotePrefix="1" applyNumberFormat="1" applyProtection="1">
      <protection locked="0"/>
    </xf>
    <xf numFmtId="169" fontId="0" fillId="4" borderId="0" xfId="0" quotePrefix="1" applyNumberFormat="1" applyFill="1" applyProtection="1">
      <protection locked="0"/>
    </xf>
    <xf numFmtId="0" fontId="28" fillId="0" borderId="0" xfId="0" applyFont="1" applyProtection="1">
      <protection locked="0"/>
    </xf>
    <xf numFmtId="0" fontId="23" fillId="0" borderId="0" xfId="0" applyFont="1" applyProtection="1">
      <protection hidden="1"/>
    </xf>
    <xf numFmtId="0" fontId="2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1" fontId="0" fillId="4" borderId="0" xfId="0" quotePrefix="1" applyNumberFormat="1" applyFill="1" applyProtection="1">
      <protection locked="0"/>
    </xf>
    <xf numFmtId="0" fontId="2" fillId="5" borderId="0" xfId="0" applyFont="1" applyFill="1" applyProtection="1">
      <protection locked="0" hidden="1"/>
    </xf>
    <xf numFmtId="168" fontId="0" fillId="0" borderId="0" xfId="0" quotePrefix="1" applyNumberFormat="1" applyProtection="1">
      <protection hidden="1"/>
    </xf>
    <xf numFmtId="0" fontId="25" fillId="0" borderId="0" xfId="0" applyFont="1" applyAlignment="1">
      <alignment horizontal="right"/>
    </xf>
    <xf numFmtId="0" fontId="1" fillId="0" borderId="0" xfId="0" applyFont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hidden="1"/>
    </xf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right"/>
      <protection locked="0"/>
    </xf>
    <xf numFmtId="2" fontId="1" fillId="0" borderId="0" xfId="0" applyNumberFormat="1" applyFont="1" applyProtection="1">
      <protection locked="0"/>
    </xf>
    <xf numFmtId="0" fontId="36" fillId="0" borderId="0" xfId="0" applyFont="1" applyAlignment="1">
      <alignment horizontal="right"/>
    </xf>
    <xf numFmtId="0" fontId="22" fillId="0" borderId="4" xfId="0" applyFont="1" applyBorder="1" applyAlignment="1" applyProtection="1">
      <alignment vertical="center"/>
      <protection hidden="1"/>
    </xf>
    <xf numFmtId="0" fontId="37" fillId="0" borderId="3" xfId="0" applyFont="1" applyBorder="1" applyAlignment="1" applyProtection="1">
      <alignment vertical="center"/>
      <protection hidden="1"/>
    </xf>
    <xf numFmtId="0" fontId="37" fillId="0" borderId="5" xfId="0" applyFont="1" applyBorder="1" applyAlignment="1" applyProtection="1">
      <alignment vertical="center"/>
      <protection hidden="1"/>
    </xf>
    <xf numFmtId="0" fontId="37" fillId="0" borderId="2" xfId="0" applyFont="1" applyBorder="1" applyAlignment="1" applyProtection="1">
      <alignment horizontal="center" vertical="center"/>
      <protection hidden="1"/>
    </xf>
    <xf numFmtId="0" fontId="26" fillId="0" borderId="0" xfId="0" applyFont="1" applyProtection="1">
      <protection hidden="1"/>
    </xf>
    <xf numFmtId="0" fontId="39" fillId="0" borderId="4" xfId="0" applyFont="1" applyBorder="1" applyAlignment="1" applyProtection="1">
      <alignment vertical="center"/>
      <protection hidden="1"/>
    </xf>
    <xf numFmtId="0" fontId="39" fillId="0" borderId="4" xfId="0" applyFont="1" applyBorder="1" applyAlignment="1" applyProtection="1">
      <alignment horizontal="center" vertical="center"/>
      <protection hidden="1"/>
    </xf>
    <xf numFmtId="0" fontId="40" fillId="0" borderId="2" xfId="0" applyFont="1" applyBorder="1" applyAlignment="1" applyProtection="1">
      <alignment horizontal="center" vertical="center"/>
      <protection hidden="1"/>
    </xf>
    <xf numFmtId="0" fontId="41" fillId="0" borderId="2" xfId="0" applyFont="1" applyBorder="1" applyAlignment="1" applyProtection="1">
      <alignment horizontal="center" vertical="center"/>
      <protection hidden="1"/>
    </xf>
    <xf numFmtId="0" fontId="40" fillId="0" borderId="2" xfId="0" applyFont="1" applyBorder="1" applyAlignment="1" applyProtection="1">
      <alignment horizontal="center" vertical="center" wrapText="1"/>
      <protection hidden="1"/>
    </xf>
    <xf numFmtId="0" fontId="40" fillId="2" borderId="2" xfId="0" applyFont="1" applyFill="1" applyBorder="1" applyAlignment="1" applyProtection="1">
      <alignment horizontal="center" vertical="center" wrapText="1"/>
      <protection hidden="1"/>
    </xf>
    <xf numFmtId="168" fontId="40" fillId="2" borderId="2" xfId="0" applyNumberFormat="1" applyFont="1" applyFill="1" applyBorder="1" applyAlignment="1" applyProtection="1">
      <alignment horizontal="center" vertical="center" wrapText="1"/>
      <protection hidden="1"/>
    </xf>
    <xf numFmtId="2" fontId="40" fillId="2" borderId="2" xfId="0" applyNumberFormat="1" applyFont="1" applyFill="1" applyBorder="1" applyAlignment="1" applyProtection="1">
      <alignment horizontal="center" vertical="center" wrapText="1"/>
      <protection hidden="1"/>
    </xf>
    <xf numFmtId="0" fontId="40" fillId="2" borderId="2" xfId="0" applyFont="1" applyFill="1" applyBorder="1" applyAlignment="1" applyProtection="1">
      <alignment horizontal="center" vertical="center"/>
      <protection hidden="1"/>
    </xf>
    <xf numFmtId="0" fontId="42" fillId="0" borderId="2" xfId="0" applyFont="1" applyBorder="1" applyAlignment="1" applyProtection="1">
      <alignment horizontal="center" vertical="center"/>
      <protection hidden="1"/>
    </xf>
    <xf numFmtId="0" fontId="42" fillId="0" borderId="2" xfId="0" applyFont="1" applyBorder="1" applyAlignment="1" applyProtection="1">
      <alignment horizontal="center" vertical="center" wrapText="1"/>
      <protection hidden="1"/>
    </xf>
    <xf numFmtId="0" fontId="43" fillId="0" borderId="4" xfId="0" applyFont="1" applyBorder="1" applyAlignment="1" applyProtection="1">
      <alignment horizontal="center" vertical="center"/>
      <protection hidden="1"/>
    </xf>
    <xf numFmtId="0" fontId="44" fillId="0" borderId="2" xfId="0" applyFont="1" applyBorder="1" applyAlignment="1" applyProtection="1">
      <alignment horizontal="center" vertical="center"/>
      <protection hidden="1"/>
    </xf>
    <xf numFmtId="165" fontId="45" fillId="0" borderId="0" xfId="0" applyNumberFormat="1" applyFont="1" applyAlignment="1">
      <alignment horizontal="left"/>
    </xf>
    <xf numFmtId="167" fontId="0" fillId="0" borderId="0" xfId="0" applyNumberFormat="1" applyAlignment="1" applyProtection="1">
      <alignment horizontal="right"/>
      <protection hidden="1"/>
    </xf>
    <xf numFmtId="167" fontId="0" fillId="0" borderId="0" xfId="0" applyNumberFormat="1" applyAlignment="1">
      <alignment horizontal="right"/>
    </xf>
    <xf numFmtId="167" fontId="0" fillId="0" borderId="0" xfId="0" applyNumberFormat="1" applyProtection="1">
      <protection hidden="1"/>
    </xf>
    <xf numFmtId="167" fontId="0" fillId="0" borderId="0" xfId="0" applyNumberFormat="1"/>
    <xf numFmtId="167" fontId="1" fillId="0" borderId="0" xfId="0" applyNumberFormat="1" applyFont="1" applyProtection="1">
      <protection hidden="1"/>
    </xf>
    <xf numFmtId="167" fontId="2" fillId="0" borderId="0" xfId="0" applyNumberFormat="1" applyFont="1" applyProtection="1">
      <protection hidden="1"/>
    </xf>
    <xf numFmtId="2" fontId="0" fillId="2" borderId="2" xfId="0" applyNumberFormat="1" applyFill="1" applyBorder="1" applyAlignment="1" applyProtection="1">
      <alignment horizontal="center" vertical="center" wrapText="1"/>
      <protection hidden="1"/>
    </xf>
    <xf numFmtId="170" fontId="2" fillId="0" borderId="0" xfId="0" applyNumberFormat="1" applyFont="1"/>
    <xf numFmtId="0" fontId="1" fillId="0" borderId="0" xfId="0" applyFont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center" vertical="center"/>
      <protection hidden="1"/>
    </xf>
    <xf numFmtId="169" fontId="0" fillId="0" borderId="0" xfId="0" quotePrefix="1" applyNumberFormat="1" applyProtection="1">
      <protection locked="0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7" fillId="0" borderId="0" xfId="0" applyFon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14" fontId="0" fillId="0" borderId="0" xfId="0" applyNumberFormat="1"/>
    <xf numFmtId="0" fontId="48" fillId="0" borderId="0" xfId="0" applyFont="1" applyAlignment="1">
      <alignment horizontal="left" vertical="center"/>
    </xf>
    <xf numFmtId="0" fontId="0" fillId="3" borderId="2" xfId="0" applyFill="1" applyBorder="1"/>
    <xf numFmtId="171" fontId="0" fillId="4" borderId="0" xfId="0" quotePrefix="1" applyNumberFormat="1" applyFill="1" applyProtection="1">
      <protection locked="0"/>
    </xf>
    <xf numFmtId="1" fontId="0" fillId="3" borderId="2" xfId="0" applyNumberFormat="1" applyFill="1" applyBorder="1"/>
    <xf numFmtId="0" fontId="11" fillId="0" borderId="0" xfId="0" applyFont="1" applyAlignment="1">
      <alignment horizontal="center" vertical="center" wrapText="1"/>
    </xf>
    <xf numFmtId="0" fontId="37" fillId="0" borderId="6" xfId="0" applyFont="1" applyBorder="1" applyAlignment="1" applyProtection="1">
      <alignment horizontal="center" vertical="center" wrapText="1"/>
      <protection hidden="1"/>
    </xf>
    <xf numFmtId="0" fontId="37" fillId="0" borderId="7" xfId="0" applyFont="1" applyBorder="1" applyAlignment="1" applyProtection="1">
      <alignment horizontal="center" vertical="center" wrapText="1"/>
      <protection hidden="1"/>
    </xf>
    <xf numFmtId="0" fontId="43" fillId="0" borderId="3" xfId="0" applyFont="1" applyBorder="1" applyAlignment="1" applyProtection="1">
      <alignment horizontal="center" vertical="center"/>
      <protection hidden="1"/>
    </xf>
    <xf numFmtId="0" fontId="43" fillId="0" borderId="4" xfId="0" applyFont="1" applyBorder="1" applyAlignment="1" applyProtection="1">
      <alignment horizontal="center" vertical="center"/>
      <protection hidden="1"/>
    </xf>
    <xf numFmtId="0" fontId="43" fillId="0" borderId="5" xfId="0" applyFont="1" applyBorder="1" applyAlignment="1" applyProtection="1">
      <alignment horizontal="center" vertical="center"/>
      <protection hidden="1"/>
    </xf>
    <xf numFmtId="0" fontId="39" fillId="0" borderId="6" xfId="0" applyFont="1" applyBorder="1" applyAlignment="1" applyProtection="1">
      <alignment horizontal="center" vertical="center" wrapText="1"/>
      <protection hidden="1"/>
    </xf>
    <xf numFmtId="0" fontId="39" fillId="0" borderId="7" xfId="0" applyFont="1" applyBorder="1" applyAlignment="1" applyProtection="1">
      <alignment horizontal="center" vertical="center" wrapText="1"/>
      <protection hidden="1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3">
    <dxf>
      <font>
        <color theme="1"/>
      </font>
    </dxf>
    <dxf>
      <font>
        <color theme="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3</xdr:col>
      <xdr:colOff>0</xdr:colOff>
      <xdr:row>11</xdr:row>
      <xdr:rowOff>266700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62832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9</xdr:row>
          <xdr:rowOff>31750</xdr:rowOff>
        </xdr:from>
        <xdr:to>
          <xdr:col>2</xdr:col>
          <xdr:colOff>1727200</xdr:colOff>
          <xdr:row>10</xdr:row>
          <xdr:rowOff>285750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62832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62832</xdr:rowOff>
    </xdr:to>
    <xdr:sp macro="" textlink="">
      <xdr:nvSpPr>
        <xdr:cNvPr id="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276225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200025</xdr:rowOff>
    </xdr:to>
    <xdr:sp macro="" textlink="">
      <xdr:nvSpPr>
        <xdr:cNvPr id="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200025</xdr:rowOff>
    </xdr:to>
    <xdr:sp macro="" textlink="">
      <xdr:nvSpPr>
        <xdr:cNvPr id="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752600" y="318770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190500</xdr:rowOff>
    </xdr:to>
    <xdr:sp macro="" textlink="">
      <xdr:nvSpPr>
        <xdr:cNvPr id="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1752600" y="31877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190500</xdr:rowOff>
    </xdr:to>
    <xdr:sp macro="" textlink="">
      <xdr:nvSpPr>
        <xdr:cNvPr id="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1752600" y="31877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11</xdr:row>
      <xdr:rowOff>193675</xdr:rowOff>
    </xdr:to>
    <xdr:sp macro="" textlink="">
      <xdr:nvSpPr>
        <xdr:cNvPr id="9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62832</xdr:rowOff>
    </xdr:to>
    <xdr:sp macro="" textlink="">
      <xdr:nvSpPr>
        <xdr:cNvPr id="1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159BA18-FC0F-4051-B6A6-6902838B9B85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62832</xdr:rowOff>
    </xdr:to>
    <xdr:sp macro="" textlink="">
      <xdr:nvSpPr>
        <xdr:cNvPr id="11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ED1A0A4-2342-4970-A6B4-8F487C5F3F90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12</xdr:row>
      <xdr:rowOff>25400</xdr:rowOff>
    </xdr:from>
    <xdr:to>
      <xdr:col>3</xdr:col>
      <xdr:colOff>3175</xdr:colOff>
      <xdr:row>13</xdr:row>
      <xdr:rowOff>62832</xdr:rowOff>
    </xdr:to>
    <xdr:sp macro="" textlink="">
      <xdr:nvSpPr>
        <xdr:cNvPr id="12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E14F4F7-62A6-4526-81EE-D20CAF06D6CD}"/>
            </a:ext>
          </a:extLst>
        </xdr:cNvPr>
        <xdr:cNvSpPr/>
      </xdr:nvSpPr>
      <xdr:spPr bwMode="auto">
        <a:xfrm>
          <a:off x="1752600" y="311150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200025</xdr:rowOff>
    </xdr:to>
    <xdr:sp macro="" textlink="">
      <xdr:nvSpPr>
        <xdr:cNvPr id="1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8D4B020-88D1-4C67-9DA4-0CD0C2F92545}"/>
            </a:ext>
          </a:extLst>
        </xdr:cNvPr>
        <xdr:cNvSpPr/>
      </xdr:nvSpPr>
      <xdr:spPr bwMode="auto">
        <a:xfrm>
          <a:off x="1752600" y="33020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200025</xdr:rowOff>
    </xdr:to>
    <xdr:sp macro="" textlink="">
      <xdr:nvSpPr>
        <xdr:cNvPr id="1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E8C8280-339A-46E9-9F15-8B1EF2C87CF5}"/>
            </a:ext>
          </a:extLst>
        </xdr:cNvPr>
        <xdr:cNvSpPr/>
      </xdr:nvSpPr>
      <xdr:spPr bwMode="auto">
        <a:xfrm>
          <a:off x="1752600" y="330200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190500</xdr:rowOff>
    </xdr:to>
    <xdr:sp macro="" textlink="">
      <xdr:nvSpPr>
        <xdr:cNvPr id="1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DDB7570B-AAC5-41EE-A550-9DDC4B347255}"/>
            </a:ext>
          </a:extLst>
        </xdr:cNvPr>
        <xdr:cNvSpPr/>
      </xdr:nvSpPr>
      <xdr:spPr bwMode="auto">
        <a:xfrm>
          <a:off x="1752600" y="3302000"/>
          <a:ext cx="1768475" cy="165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13</xdr:row>
      <xdr:rowOff>190500</xdr:rowOff>
    </xdr:to>
    <xdr:sp macro="" textlink="">
      <xdr:nvSpPr>
        <xdr:cNvPr id="1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4256CF6-D0D3-483D-90D7-FFD12474A3F7}"/>
            </a:ext>
          </a:extLst>
        </xdr:cNvPr>
        <xdr:cNvSpPr/>
      </xdr:nvSpPr>
      <xdr:spPr bwMode="auto">
        <a:xfrm>
          <a:off x="1752600" y="3302000"/>
          <a:ext cx="1768475" cy="165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17</xdr:row>
      <xdr:rowOff>25400</xdr:rowOff>
    </xdr:from>
    <xdr:to>
      <xdr:col>2</xdr:col>
      <xdr:colOff>608097</xdr:colOff>
      <xdr:row>18</xdr:row>
      <xdr:rowOff>122990</xdr:rowOff>
    </xdr:to>
    <xdr:sp macro="" textlink="">
      <xdr:nvSpPr>
        <xdr:cNvPr id="1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C62BD14-5FB1-48EB-93B8-7C1EF0A59E03}"/>
            </a:ext>
          </a:extLst>
        </xdr:cNvPr>
        <xdr:cNvSpPr/>
      </xdr:nvSpPr>
      <xdr:spPr bwMode="auto">
        <a:xfrm>
          <a:off x="590550" y="40640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17</xdr:row>
      <xdr:rowOff>25400</xdr:rowOff>
    </xdr:from>
    <xdr:to>
      <xdr:col>2</xdr:col>
      <xdr:colOff>608097</xdr:colOff>
      <xdr:row>18</xdr:row>
      <xdr:rowOff>122990</xdr:rowOff>
    </xdr:to>
    <xdr:sp macro="" textlink="">
      <xdr:nvSpPr>
        <xdr:cNvPr id="1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17216C29-8D33-4C28-A293-CF65E4485426}"/>
            </a:ext>
          </a:extLst>
        </xdr:cNvPr>
        <xdr:cNvSpPr/>
      </xdr:nvSpPr>
      <xdr:spPr bwMode="auto">
        <a:xfrm>
          <a:off x="590550" y="40640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276225</xdr:rowOff>
    </xdr:to>
    <xdr:sp macro="" textlink="">
      <xdr:nvSpPr>
        <xdr:cNvPr id="19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C5BFEA1-6133-4B7F-BED4-E8D4B04D10B2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2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CDDD874F-A0A4-4D05-91FF-5129A08DEBF8}"/>
            </a:ext>
          </a:extLst>
        </xdr:cNvPr>
        <xdr:cNvSpPr/>
      </xdr:nvSpPr>
      <xdr:spPr bwMode="auto">
        <a:xfrm>
          <a:off x="1752600" y="324485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21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89209427-C417-49F2-8FCC-833018AB28D4}"/>
            </a:ext>
          </a:extLst>
        </xdr:cNvPr>
        <xdr:cNvSpPr/>
      </xdr:nvSpPr>
      <xdr:spPr bwMode="auto">
        <a:xfrm>
          <a:off x="1752600" y="324485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22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FD69CB1-A6B5-481F-8729-82FCE57C8A48}"/>
            </a:ext>
          </a:extLst>
        </xdr:cNvPr>
        <xdr:cNvSpPr/>
      </xdr:nvSpPr>
      <xdr:spPr bwMode="auto">
        <a:xfrm>
          <a:off x="1752600" y="324485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2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BAA165F-D82B-4638-A4C0-E8D1F87CB1C0}"/>
            </a:ext>
          </a:extLst>
        </xdr:cNvPr>
        <xdr:cNvSpPr/>
      </xdr:nvSpPr>
      <xdr:spPr bwMode="auto">
        <a:xfrm>
          <a:off x="1752600" y="324485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11</xdr:row>
      <xdr:rowOff>193675</xdr:rowOff>
    </xdr:to>
    <xdr:sp macro="" textlink="">
      <xdr:nvSpPr>
        <xdr:cNvPr id="24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1483CE9-6AC7-46B5-A1C0-1B77CA3D38FF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2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34BE122-9867-45BF-91E0-8EA630C98CD9}"/>
            </a:ext>
          </a:extLst>
        </xdr:cNvPr>
        <xdr:cNvSpPr/>
      </xdr:nvSpPr>
      <xdr:spPr bwMode="auto">
        <a:xfrm>
          <a:off x="1752600" y="324485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2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BDD50C23-2E0F-40DB-866E-C90BBCDB3DFC}"/>
            </a:ext>
          </a:extLst>
        </xdr:cNvPr>
        <xdr:cNvSpPr/>
      </xdr:nvSpPr>
      <xdr:spPr bwMode="auto">
        <a:xfrm>
          <a:off x="1752600" y="324485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8</xdr:col>
      <xdr:colOff>66675</xdr:colOff>
      <xdr:row>1</xdr:row>
      <xdr:rowOff>342900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150" y="38100"/>
          <a:ext cx="6686550" cy="790575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 this activity you will attempt to complete the task in Column A based on the</a:t>
          </a:r>
          <a:r>
            <a:rPr lang="en-US" sz="1100" baseline="0">
              <a:solidFill>
                <a:sysClr val="windowText" lastClr="000000"/>
              </a:solidFill>
            </a:rPr>
            <a:t> command in column B. Select an individual Cell in Column B (for example Cell B4), then edit the command to remove the single quote at the start of the line. When the command starts with an = Excel will try to calculate a result.  Progress through each cell in Column B, removing the single quote and proceed to solve the problem</a:t>
          </a:r>
          <a:r>
            <a:rPr lang="en-US" sz="1100">
              <a:solidFill>
                <a:sysClr val="windowText" lastClr="000000"/>
              </a:solidFill>
            </a:rPr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9"/>
  <sheetViews>
    <sheetView zoomScale="95" zoomScaleNormal="95" workbookViewId="0">
      <selection activeCell="C7" sqref="C7"/>
    </sheetView>
  </sheetViews>
  <sheetFormatPr defaultColWidth="8.81640625" defaultRowHeight="14.5"/>
  <cols>
    <col min="2" max="2" width="17.453125" customWidth="1"/>
    <col min="3" max="3" width="26.453125" customWidth="1"/>
    <col min="5" max="5" width="16.54296875" style="20" customWidth="1"/>
    <col min="7" max="7" width="8.81640625" style="19"/>
    <col min="8" max="8" width="110" customWidth="1"/>
    <col min="10" max="12" width="8.81640625" style="2"/>
    <col min="13" max="13" width="18.81640625" style="2" customWidth="1"/>
  </cols>
  <sheetData>
    <row r="1" spans="2:14">
      <c r="G1" s="9"/>
      <c r="H1" s="10"/>
    </row>
    <row r="2" spans="2:14">
      <c r="B2" t="s">
        <v>112</v>
      </c>
      <c r="E2" s="23"/>
      <c r="G2" s="9"/>
      <c r="H2" s="10"/>
      <c r="M2" s="3"/>
      <c r="N2" s="2"/>
    </row>
    <row r="3" spans="2:14" ht="15" thickBot="1">
      <c r="G3" s="9"/>
      <c r="H3" s="10"/>
      <c r="M3" s="24"/>
      <c r="N3" s="2"/>
    </row>
    <row r="4" spans="2:14" ht="15" thickBot="1">
      <c r="B4" t="s">
        <v>0</v>
      </c>
      <c r="C4" s="58" t="s">
        <v>1475</v>
      </c>
      <c r="D4" s="25" t="s">
        <v>2</v>
      </c>
      <c r="G4" s="11" t="s">
        <v>14</v>
      </c>
      <c r="H4" s="10" t="s">
        <v>20</v>
      </c>
      <c r="M4" s="24"/>
    </row>
    <row r="5" spans="2:14" ht="15" thickBot="1">
      <c r="G5" s="11" t="s">
        <v>6</v>
      </c>
      <c r="H5" s="10" t="s">
        <v>17</v>
      </c>
      <c r="M5" s="24"/>
    </row>
    <row r="6" spans="2:14" ht="15" thickBot="1">
      <c r="B6" t="s">
        <v>13</v>
      </c>
      <c r="C6" s="58" t="s">
        <v>1476</v>
      </c>
      <c r="D6" s="25" t="s">
        <v>3</v>
      </c>
      <c r="G6" s="11" t="s">
        <v>8</v>
      </c>
      <c r="H6" s="10" t="s">
        <v>18</v>
      </c>
      <c r="M6" s="24"/>
    </row>
    <row r="7" spans="2:14" ht="15" thickBot="1">
      <c r="G7" s="11" t="s">
        <v>8</v>
      </c>
      <c r="H7" s="10" t="s">
        <v>19</v>
      </c>
      <c r="M7" s="24"/>
    </row>
    <row r="8" spans="2:14" ht="15" thickBot="1">
      <c r="B8" t="s">
        <v>1</v>
      </c>
      <c r="C8" s="26">
        <f ca="1">NOW()</f>
        <v>46058.686245717596</v>
      </c>
      <c r="G8" s="11"/>
      <c r="H8" s="10" t="s">
        <v>7</v>
      </c>
    </row>
    <row r="9" spans="2:14" ht="46.5" customHeight="1">
      <c r="C9" s="107" t="s">
        <v>118</v>
      </c>
      <c r="G9" s="13" t="s">
        <v>9</v>
      </c>
      <c r="H9" s="14" t="s">
        <v>12</v>
      </c>
    </row>
    <row r="10" spans="2:14" ht="24" customHeight="1">
      <c r="C10" s="118" t="s">
        <v>21</v>
      </c>
      <c r="E10" s="18">
        <v>46057.458668865744</v>
      </c>
      <c r="F10" t="s">
        <v>1481</v>
      </c>
    </row>
    <row r="11" spans="2:14" ht="24" customHeight="1">
      <c r="C11" s="118"/>
      <c r="H11" s="12"/>
    </row>
    <row r="12" spans="2:14" ht="24" customHeight="1">
      <c r="C12" s="42"/>
    </row>
    <row r="13" spans="2:14" s="108" customFormat="1" ht="19.5" customHeight="1">
      <c r="C13" s="109" t="str" cm="1">
        <f t="array" aca="1" ref="C13" ca="1">CELL("filename",C4)</f>
        <v>C:\Users\Public\CIS2010\[S04w_Debugging_HalimaAlausa.xlsm]StartHere</v>
      </c>
      <c r="D13" s="108" t="s">
        <v>85</v>
      </c>
      <c r="E13" s="110"/>
      <c r="J13" s="111"/>
      <c r="K13" s="111"/>
      <c r="L13" s="111"/>
      <c r="M13" s="111"/>
    </row>
    <row r="14" spans="2:14" s="108" customFormat="1" ht="19.5" customHeight="1">
      <c r="C14" s="108" t="str">
        <f ca="1">IFERROR(IF(INFO("system")="pcdos","Directory path should be C:\Users\Public\CIS2010","Directory path should be /Users/Shared/CIS2010"),"You must install and use Excel Desktop starting session 2")</f>
        <v>Directory path should be C:\Users\Public\CIS2010</v>
      </c>
      <c r="E14" s="110"/>
      <c r="J14" s="111"/>
      <c r="K14" s="111"/>
      <c r="L14" s="111"/>
      <c r="M14" s="111"/>
    </row>
    <row r="15" spans="2:14" s="108" customFormat="1" ht="19.5" customHeight="1">
      <c r="C15" s="112" t="str">
        <f ca="1">LEFT(C13,FIND("]",C13))</f>
        <v>C:\Users\Public\CIS2010\[S04w_Debugging_HalimaAlausa.xlsm]</v>
      </c>
      <c r="E15" s="110"/>
      <c r="J15" s="111"/>
      <c r="K15" s="111"/>
      <c r="L15" s="111"/>
      <c r="M15" s="111"/>
    </row>
    <row r="16" spans="2:14">
      <c r="C16" s="54" t="str">
        <f ca="1">IFERROR(_xlfn.XLOOKUP("OS",B4:B19,C4:C19),"Upgrade to Excel 2021")</f>
        <v>Windows (64-bit) NT 10.00</v>
      </c>
    </row>
    <row r="17" spans="2:4">
      <c r="B17" s="21" t="s">
        <v>15</v>
      </c>
      <c r="C17" s="21" t="str">
        <f ca="1">INFO("release")</f>
        <v>16.0</v>
      </c>
      <c r="D17" s="22"/>
    </row>
    <row r="18" spans="2:4">
      <c r="B18" s="1" t="s">
        <v>16</v>
      </c>
      <c r="C18" s="1" t="str">
        <f ca="1">INFO("OSVERSION")</f>
        <v>Windows (64-bit) NT 10.00</v>
      </c>
      <c r="D18" s="21"/>
    </row>
    <row r="19" spans="2:4">
      <c r="B19" s="95" t="s">
        <v>107</v>
      </c>
    </row>
  </sheetData>
  <sheetProtection algorithmName="SHA-512" hashValue="VZTNHlWaE799qpWftskzZ91wc3Q7qSOZ4ZF6beR59yZsutbDQevqufFYc3vNucjcfaO/w7l8o5ylzSBc522jpQ==" saltValue="Gpws+3gq+uTqUvBl+boc+g==" spinCount="100000" sheet="1" objects="1" scenarios="1"/>
  <mergeCells count="1">
    <mergeCell ref="C10:C11"/>
  </mergeCells>
  <conditionalFormatting sqref="C16">
    <cfRule type="cellIs" dxfId="2" priority="1" operator="notEqual">
      <formula>$C$18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31750</xdr:colOff>
                    <xdr:row>9</xdr:row>
                    <xdr:rowOff>31750</xdr:rowOff>
                  </from>
                  <to>
                    <xdr:col>2</xdr:col>
                    <xdr:colOff>1727200</xdr:colOff>
                    <xdr:row>10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D8F2-0270-4AAA-B3C2-597C859AB2AC}">
  <sheetPr codeName="Sheet6"/>
  <dimension ref="A1:C5"/>
  <sheetViews>
    <sheetView workbookViewId="0">
      <selection activeCell="A2" sqref="A2"/>
    </sheetView>
  </sheetViews>
  <sheetFormatPr defaultRowHeight="14.5"/>
  <cols>
    <col min="1" max="1" width="25.7265625" customWidth="1"/>
    <col min="2" max="2" width="63.81640625" customWidth="1"/>
    <col min="3" max="3" width="40.453125" customWidth="1"/>
  </cols>
  <sheetData>
    <row r="1" spans="1:3" ht="15" thickBot="1">
      <c r="A1" s="26">
        <f ca="1">NOW()</f>
        <v>46058.686245717596</v>
      </c>
      <c r="B1" s="49" t="s">
        <v>59</v>
      </c>
    </row>
    <row r="2" spans="1:3" ht="251.25" customHeight="1" thickBot="1">
      <c r="B2" s="50" t="s">
        <v>60</v>
      </c>
      <c r="C2" s="51" t="s">
        <v>61</v>
      </c>
    </row>
    <row r="4" spans="1:3" s="53" customFormat="1" ht="22.5" customHeight="1">
      <c r="A4" s="51" t="s">
        <v>62</v>
      </c>
      <c r="B4" s="52" t="s">
        <v>63</v>
      </c>
    </row>
    <row r="5" spans="1:3" s="53" customFormat="1" ht="22.5" customHeight="1">
      <c r="A5" s="51" t="s">
        <v>64</v>
      </c>
      <c r="B5" s="52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FFFF"/>
  </sheetPr>
  <dimension ref="A1:W35"/>
  <sheetViews>
    <sheetView topLeftCell="A4" zoomScaleNormal="100" workbookViewId="0">
      <selection activeCell="C24" sqref="C24"/>
    </sheetView>
  </sheetViews>
  <sheetFormatPr defaultColWidth="8.81640625" defaultRowHeight="14.5"/>
  <cols>
    <col min="1" max="1" width="46.54296875" style="2" customWidth="1"/>
    <col min="2" max="2" width="17.453125" style="39" customWidth="1"/>
    <col min="3" max="3" width="21" style="40" customWidth="1"/>
    <col min="4" max="4" width="9.26953125" style="1" customWidth="1"/>
    <col min="5" max="5" width="14.1796875" style="32" bestFit="1" customWidth="1"/>
    <col min="6" max="6" width="11.26953125" customWidth="1"/>
    <col min="7" max="7" width="13.7265625" hidden="1" customWidth="1"/>
    <col min="8" max="8" width="8.08984375" hidden="1" customWidth="1"/>
    <col min="9" max="9" width="0.1796875" customWidth="1"/>
    <col min="10" max="16" width="10.7265625" style="44" customWidth="1"/>
    <col min="17" max="17" width="8.81640625" style="44"/>
    <col min="19" max="19" width="8.81640625" customWidth="1"/>
    <col min="20" max="20" width="9.26953125" customWidth="1"/>
    <col min="21" max="21" width="8.81640625" customWidth="1"/>
  </cols>
  <sheetData>
    <row r="1" spans="1:23" s="19" customFormat="1" ht="38.25" customHeight="1">
      <c r="A1" s="76" t="s">
        <v>113</v>
      </c>
      <c r="B1" s="71" t="s">
        <v>114</v>
      </c>
      <c r="C1" s="71"/>
      <c r="D1" s="72"/>
      <c r="E1" s="72"/>
      <c r="H1" s="70"/>
      <c r="I1" s="27"/>
      <c r="J1" s="72" t="s">
        <v>49</v>
      </c>
      <c r="K1" s="72">
        <v>1</v>
      </c>
      <c r="L1" s="72">
        <v>10</v>
      </c>
      <c r="M1" s="105" t="s">
        <v>113</v>
      </c>
      <c r="N1" s="72">
        <v>1.1000000000000001</v>
      </c>
      <c r="O1" s="72">
        <v>11.11111</v>
      </c>
      <c r="P1" s="72">
        <v>111.11111</v>
      </c>
      <c r="Q1" s="96"/>
      <c r="R1" s="97"/>
      <c r="S1" s="97"/>
      <c r="T1" s="97"/>
      <c r="U1" s="97"/>
      <c r="V1" s="97"/>
      <c r="W1" s="97"/>
    </row>
    <row r="2" spans="1:23" ht="38.25" customHeight="1">
      <c r="A2" s="73"/>
      <c r="B2" s="104" t="s">
        <v>114</v>
      </c>
      <c r="C2" s="74"/>
      <c r="D2" s="72"/>
      <c r="E2" s="72"/>
      <c r="F2" s="19"/>
      <c r="H2" s="30"/>
      <c r="I2" s="30"/>
      <c r="J2" s="78" t="s">
        <v>44</v>
      </c>
      <c r="K2" s="77"/>
      <c r="L2" s="77"/>
      <c r="M2" s="93" t="s">
        <v>39</v>
      </c>
      <c r="N2" s="77"/>
      <c r="O2" s="77"/>
      <c r="P2" s="79">
        <v>22.7</v>
      </c>
      <c r="Q2" s="98"/>
      <c r="R2" s="99"/>
      <c r="S2" s="99"/>
      <c r="T2" s="99"/>
      <c r="U2" s="99"/>
      <c r="V2" s="99"/>
      <c r="W2" s="99"/>
    </row>
    <row r="3" spans="1:23" ht="18.5">
      <c r="A3" s="28" t="s">
        <v>28</v>
      </c>
      <c r="B3" s="41" t="s">
        <v>29</v>
      </c>
      <c r="C3" s="56" t="s">
        <v>70</v>
      </c>
      <c r="D3" s="64"/>
      <c r="E3" s="31"/>
      <c r="F3" s="65"/>
      <c r="G3" s="66"/>
      <c r="H3" s="2"/>
      <c r="I3" s="2"/>
      <c r="J3" s="80" t="s">
        <v>47</v>
      </c>
      <c r="K3" s="121" t="s">
        <v>55</v>
      </c>
      <c r="L3" s="122"/>
      <c r="M3" s="123"/>
      <c r="N3" s="121" t="s">
        <v>56</v>
      </c>
      <c r="O3" s="122"/>
      <c r="P3" s="123"/>
      <c r="Q3" s="98"/>
      <c r="R3" s="99"/>
      <c r="S3" s="99"/>
      <c r="T3" s="99"/>
      <c r="U3" s="99"/>
      <c r="V3" s="99"/>
      <c r="W3" s="99"/>
    </row>
    <row r="4" spans="1:23" ht="17.25" customHeight="1">
      <c r="A4" s="55" t="s">
        <v>30</v>
      </c>
      <c r="B4" s="116">
        <f ca="1">NOW()</f>
        <v>46058.686245717596</v>
      </c>
      <c r="C4" s="36" t="s">
        <v>37</v>
      </c>
      <c r="D4" s="59" t="str">
        <f>IF(C4=CommonErrors!A8,"Good","")</f>
        <v>Good</v>
      </c>
      <c r="E4" s="57"/>
      <c r="J4" s="91" t="s">
        <v>40</v>
      </c>
      <c r="K4" s="91" t="s">
        <v>106</v>
      </c>
      <c r="L4" s="94" t="s">
        <v>41</v>
      </c>
      <c r="M4" s="94" t="s">
        <v>42</v>
      </c>
      <c r="N4" s="91" t="s">
        <v>106</v>
      </c>
      <c r="O4" s="94" t="s">
        <v>41</v>
      </c>
      <c r="P4" s="94" t="s">
        <v>42</v>
      </c>
      <c r="Q4" s="98"/>
      <c r="R4" s="99"/>
      <c r="S4" s="99"/>
      <c r="T4" s="60"/>
      <c r="U4" s="99"/>
      <c r="V4" s="99"/>
      <c r="W4" s="99"/>
    </row>
    <row r="5" spans="1:23" ht="17.25" customHeight="1">
      <c r="A5" s="29" t="s">
        <v>76</v>
      </c>
      <c r="B5" s="62">
        <f>AVERAGE(N5:N16)</f>
        <v>52.5</v>
      </c>
      <c r="C5" s="36" t="s">
        <v>24</v>
      </c>
      <c r="D5" s="59" t="str">
        <f>IF(C5=CommonErrors!A3,"Good","")</f>
        <v>Good</v>
      </c>
      <c r="E5" s="32" t="str">
        <f>IF(B5=AutoPointPenalty!$E$5,"Correct solution","")</f>
        <v>Correct solution</v>
      </c>
      <c r="J5" s="92" t="s">
        <v>43</v>
      </c>
      <c r="K5" s="46">
        <v>61</v>
      </c>
      <c r="L5" s="47">
        <v>16.111111111111111</v>
      </c>
      <c r="M5" s="102">
        <v>289.26111111111106</v>
      </c>
      <c r="N5" s="48">
        <v>43</v>
      </c>
      <c r="O5" s="47">
        <v>6.1111111111111107</v>
      </c>
      <c r="P5" s="102">
        <v>279.26111111111106</v>
      </c>
      <c r="Q5" s="98"/>
      <c r="R5" s="99"/>
      <c r="S5" s="99"/>
      <c r="T5" s="60"/>
      <c r="U5" s="99"/>
      <c r="V5" s="99"/>
      <c r="W5" s="99"/>
    </row>
    <row r="6" spans="1:23" ht="17.25" customHeight="1">
      <c r="A6" s="29" t="s">
        <v>92</v>
      </c>
      <c r="B6" s="35">
        <f>AVERAGE(M5:M16)</f>
        <v>294.39999999999992</v>
      </c>
      <c r="C6" s="36" t="s">
        <v>33</v>
      </c>
      <c r="D6" s="59" t="str">
        <f>IF(C6=CommonErrors!A4,"Good","")</f>
        <v>Good</v>
      </c>
      <c r="E6" s="32" t="str">
        <f>IF(B6=AutoPointPenalty!$H$3,"Correct solution","")</f>
        <v>Correct solution</v>
      </c>
      <c r="J6" s="91" t="s">
        <v>44</v>
      </c>
      <c r="K6" s="48">
        <v>52</v>
      </c>
      <c r="L6" s="47">
        <v>11.111111111111111</v>
      </c>
      <c r="M6" s="102">
        <v>284.26111111111106</v>
      </c>
      <c r="N6" s="48">
        <v>37</v>
      </c>
      <c r="O6" s="47">
        <v>2.7777777777777777</v>
      </c>
      <c r="P6" s="102">
        <v>275.92777777777775</v>
      </c>
      <c r="Q6" s="98"/>
      <c r="R6" s="99"/>
      <c r="S6" s="99"/>
      <c r="T6" s="60"/>
      <c r="U6" s="99"/>
      <c r="V6" s="99"/>
      <c r="W6" s="99"/>
    </row>
    <row r="7" spans="1:23" ht="17.25" customHeight="1">
      <c r="A7" s="33" t="s">
        <v>89</v>
      </c>
      <c r="B7" s="61">
        <f>AVERAGE(O5:O16)</f>
        <v>11.388888888888888</v>
      </c>
      <c r="C7" s="37" t="s">
        <v>33</v>
      </c>
      <c r="D7" s="59" t="str" cm="1">
        <f t="array" ref="D7">_xlfn.IFS(C7=CommonErrors!$A$4,"Good",C7=CommonErrors!$A$9,"Good")</f>
        <v>Good</v>
      </c>
      <c r="E7" s="32" t="str">
        <f>IF(B7=AutoPointPenalty!$B$9,"Correct solution","")</f>
        <v>Correct solution</v>
      </c>
      <c r="F7" s="19"/>
      <c r="J7" s="91" t="s">
        <v>45</v>
      </c>
      <c r="K7" s="48">
        <v>72</v>
      </c>
      <c r="L7" s="47">
        <v>22.222222222222221</v>
      </c>
      <c r="M7" s="102">
        <v>295.37222222222221</v>
      </c>
      <c r="N7" s="48">
        <v>54</v>
      </c>
      <c r="O7" s="47">
        <v>12.222222222222221</v>
      </c>
      <c r="P7" s="102">
        <v>285.37222222222221</v>
      </c>
      <c r="Q7" s="98"/>
      <c r="R7" s="99"/>
      <c r="S7" s="99"/>
      <c r="T7" s="99"/>
      <c r="U7" s="99"/>
      <c r="V7" s="99"/>
      <c r="W7" s="99"/>
    </row>
    <row r="8" spans="1:23" ht="17.25" customHeight="1">
      <c r="A8" s="29" t="s">
        <v>82</v>
      </c>
      <c r="B8" s="35">
        <f>(O5+O6+O16)/3</f>
        <v>3.5185185185185186</v>
      </c>
      <c r="C8" s="36" t="s">
        <v>35</v>
      </c>
      <c r="D8" s="59" t="str" cm="1">
        <f t="array" ref="D8">_xlfn.IFS(C8=CommonErrors!$A$5,"Good",C8=CommonErrors!$A$2,"Good",C8=CommonErrors!$A$9,"Good",C8=CommonErrors!$A$10,"Good")</f>
        <v>Good</v>
      </c>
      <c r="E8" s="32" t="str">
        <f>IF(B8=AutoPointPenalty!F1,"Correct solution","")</f>
        <v>Correct solution</v>
      </c>
      <c r="J8" s="91" t="s">
        <v>46</v>
      </c>
      <c r="K8" s="48">
        <v>82</v>
      </c>
      <c r="L8" s="47">
        <v>27.777777777777779</v>
      </c>
      <c r="M8" s="102">
        <v>300.92777777777775</v>
      </c>
      <c r="N8" s="48">
        <v>64</v>
      </c>
      <c r="O8" s="47">
        <v>17.777777777777779</v>
      </c>
      <c r="P8" s="102">
        <v>290.92777777777775</v>
      </c>
      <c r="Q8" s="98"/>
      <c r="R8" s="99"/>
      <c r="S8" s="99"/>
      <c r="T8" s="99"/>
      <c r="U8" s="99"/>
      <c r="V8" s="99"/>
      <c r="W8" s="99"/>
    </row>
    <row r="9" spans="1:23" ht="17.25" customHeight="1">
      <c r="A9" s="29" t="s">
        <v>77</v>
      </c>
      <c r="B9" s="35">
        <f>(N5+N6+N16)/3</f>
        <v>38.333333333333336</v>
      </c>
      <c r="C9" s="36" t="s">
        <v>35</v>
      </c>
      <c r="D9" s="59" t="str" cm="1">
        <f t="array" ref="D9">_xlfn.IFS(C9=CommonErrors!$A$2,"Good",C9=CommonErrors!$A$5,"Good", C9=CommonErrors!$A$9,"Good",C9=CommonErrors!$A$10,"Good")</f>
        <v>Good</v>
      </c>
      <c r="E9" s="32" t="str">
        <f>IF(B9=AutoPointPenalty!E1,"Correct solution","")</f>
        <v>Correct solution</v>
      </c>
      <c r="J9" s="91" t="s">
        <v>47</v>
      </c>
      <c r="K9" s="48">
        <v>86</v>
      </c>
      <c r="L9" s="47">
        <v>30</v>
      </c>
      <c r="M9" s="102">
        <v>303.14999999999998</v>
      </c>
      <c r="N9" s="48">
        <v>69</v>
      </c>
      <c r="O9" s="47">
        <v>20.555555555555554</v>
      </c>
      <c r="P9" s="102">
        <v>293.70555555555552</v>
      </c>
      <c r="Q9" s="98"/>
      <c r="R9" s="99"/>
      <c r="S9" s="99"/>
      <c r="T9" s="99"/>
      <c r="U9" s="99"/>
      <c r="V9" s="99"/>
      <c r="W9" s="99"/>
    </row>
    <row r="10" spans="1:23" ht="17.25" customHeight="1">
      <c r="A10" s="34" t="s">
        <v>90</v>
      </c>
      <c r="B10" s="61">
        <f>(P5+P6+P16)/3</f>
        <v>276.66851851851851</v>
      </c>
      <c r="C10" s="37" t="s">
        <v>35</v>
      </c>
      <c r="D10" s="59" t="str" cm="1">
        <f t="array" ref="D10">_xlfn.IFS(C10=CommonErrors!$A$4,"Good", C10=CommonErrors!$A$5,"Good", C10=CommonErrors!$A$9,"Good", C10=CommonErrors!$A$10,"Good")</f>
        <v>Good</v>
      </c>
      <c r="E10" s="32" t="str">
        <f>IF(B10=AutoPointPenalty!G1,"Correct solution","")</f>
        <v>Correct solution</v>
      </c>
      <c r="J10" s="91" t="s">
        <v>48</v>
      </c>
      <c r="K10" s="48">
        <v>87</v>
      </c>
      <c r="L10" s="47">
        <v>30.555555555555554</v>
      </c>
      <c r="M10" s="102">
        <v>303.70555555555552</v>
      </c>
      <c r="N10" s="48">
        <v>70</v>
      </c>
      <c r="O10" s="47">
        <v>21.111111111111111</v>
      </c>
      <c r="P10" s="102">
        <v>294.26111111111106</v>
      </c>
      <c r="Q10" s="98"/>
      <c r="R10" s="99"/>
      <c r="S10" s="99"/>
      <c r="T10" s="99"/>
      <c r="U10" s="99"/>
      <c r="V10" s="99"/>
      <c r="W10" s="99"/>
    </row>
    <row r="11" spans="1:23" ht="17.25" customHeight="1">
      <c r="A11" s="29" t="s">
        <v>116</v>
      </c>
      <c r="B11" s="35">
        <f>ROUND(B9,2)</f>
        <v>38.33</v>
      </c>
      <c r="C11" s="36" t="s">
        <v>33</v>
      </c>
      <c r="D11" s="59" t="str">
        <f>IF(C11=CommonErrors!A$4,"Good","")</f>
        <v>Good</v>
      </c>
      <c r="E11" s="32" t="str">
        <f>IF(B11=AutoPointPenalty!E3,"Correct solution","")</f>
        <v>Correct solution</v>
      </c>
      <c r="J11" s="91" t="s">
        <v>49</v>
      </c>
      <c r="K11" s="48">
        <v>86</v>
      </c>
      <c r="L11" s="47">
        <v>30</v>
      </c>
      <c r="M11" s="102">
        <v>303.14999999999998</v>
      </c>
      <c r="N11" s="48">
        <v>67</v>
      </c>
      <c r="O11" s="47">
        <v>19.444444444444443</v>
      </c>
      <c r="P11" s="102">
        <v>292.59444444444443</v>
      </c>
      <c r="Q11" s="98"/>
      <c r="R11" s="99"/>
      <c r="S11" s="99"/>
      <c r="T11" s="99"/>
      <c r="U11" s="99"/>
      <c r="V11" s="99"/>
      <c r="W11" s="99"/>
    </row>
    <row r="12" spans="1:23" ht="17.25" customHeight="1">
      <c r="A12" s="29" t="s">
        <v>117</v>
      </c>
      <c r="B12" s="35">
        <f>ROUND(B9,1)</f>
        <v>38.299999999999997</v>
      </c>
      <c r="C12" s="36" t="s">
        <v>33</v>
      </c>
      <c r="D12" s="59" t="str" cm="1">
        <f t="array" ref="D12">_xlfn.IFS(C12=CommonErrors!A$4,"Good")</f>
        <v>Good</v>
      </c>
      <c r="E12" s="32" t="str">
        <f>IF(B12=AutoPointPenalty!E4,"Correct solution","")</f>
        <v>Correct solution</v>
      </c>
      <c r="J12" s="91" t="s">
        <v>50</v>
      </c>
      <c r="K12" s="48">
        <v>79</v>
      </c>
      <c r="L12" s="47">
        <v>26.111111111111111</v>
      </c>
      <c r="M12" s="102">
        <v>299.26111111111106</v>
      </c>
      <c r="N12" s="48">
        <v>60</v>
      </c>
      <c r="O12" s="47">
        <v>15.555555555555555</v>
      </c>
      <c r="P12" s="102">
        <v>288.70555555555552</v>
      </c>
      <c r="Q12" s="98"/>
      <c r="R12" s="99"/>
      <c r="S12" s="99"/>
      <c r="T12" s="99"/>
      <c r="U12" s="99"/>
      <c r="V12" s="99"/>
      <c r="W12" s="99"/>
    </row>
    <row r="13" spans="1:23" ht="17.25" customHeight="1">
      <c r="A13" s="33" t="s">
        <v>93</v>
      </c>
      <c r="B13" s="106">
        <f>ROUND(B10,3)</f>
        <v>276.66899999999998</v>
      </c>
      <c r="C13" s="40" t="s">
        <v>33</v>
      </c>
      <c r="D13" s="59" t="str" cm="1">
        <f t="array" ref="D13">_xlfn.IFS(C13=CommonErrors!A$4,"Good",C13=CommonErrors!A$9,"Good",C13=CommonErrors!A$10,"Good")</f>
        <v>Good</v>
      </c>
      <c r="E13" s="32" t="str">
        <f>IF(B13=AutoPointPenalty!G2,"Correct solution","")</f>
        <v>Correct solution</v>
      </c>
      <c r="J13" s="91" t="s">
        <v>51</v>
      </c>
      <c r="K13" s="48">
        <v>71</v>
      </c>
      <c r="L13" s="47">
        <v>21.666666666666668</v>
      </c>
      <c r="M13" s="102">
        <v>294.81666666666666</v>
      </c>
      <c r="N13" s="48">
        <v>51</v>
      </c>
      <c r="O13" s="47">
        <v>10.555555555555555</v>
      </c>
      <c r="P13" s="102">
        <v>283.70555555555552</v>
      </c>
      <c r="Q13" s="98"/>
      <c r="R13" s="99"/>
      <c r="S13" s="99"/>
      <c r="T13" s="99"/>
      <c r="U13" s="99"/>
      <c r="V13" s="99"/>
      <c r="W13" s="99"/>
    </row>
    <row r="14" spans="1:23" ht="17.25" customHeight="1">
      <c r="A14" s="33" t="s">
        <v>87</v>
      </c>
      <c r="B14" s="69">
        <f>TRUNC(AVERAGE(M4:M16))</f>
        <v>294</v>
      </c>
      <c r="C14" s="40" t="s">
        <v>33</v>
      </c>
      <c r="D14" s="59" t="str" cm="1">
        <f t="array" ref="D14">_xlfn.IFS(C14=CommonErrors!A$4,"Good",C14=CommonErrors!A$5,"Good")</f>
        <v>Good</v>
      </c>
      <c r="E14" s="32" t="str">
        <f>IF(B14=AutoPointPenalty!H6,"Correct solution","")</f>
        <v>Correct solution</v>
      </c>
      <c r="J14" s="91" t="s">
        <v>52</v>
      </c>
      <c r="K14" s="48">
        <v>54</v>
      </c>
      <c r="L14" s="47">
        <v>12.222222222222221</v>
      </c>
      <c r="M14" s="102">
        <v>285.37222222222221</v>
      </c>
      <c r="N14" s="48">
        <v>37</v>
      </c>
      <c r="O14" s="47">
        <v>2.7777777777777777</v>
      </c>
      <c r="P14" s="102">
        <v>275.92777777777775</v>
      </c>
      <c r="Q14" s="98"/>
      <c r="R14" s="99"/>
      <c r="S14" s="99"/>
      <c r="T14" s="99"/>
      <c r="U14" s="99"/>
      <c r="V14" s="99"/>
      <c r="W14" s="99"/>
    </row>
    <row r="15" spans="1:23" ht="17.25" customHeight="1">
      <c r="A15" s="29" t="s">
        <v>86</v>
      </c>
      <c r="B15" s="67">
        <f>COUNTA(J5:J16)</f>
        <v>12</v>
      </c>
      <c r="C15" s="36" t="s">
        <v>24</v>
      </c>
      <c r="D15" s="59" t="str">
        <f>IF(C15=CommonErrors!A$3,"Good","")</f>
        <v>Good</v>
      </c>
      <c r="E15" s="32" t="str">
        <f>IF(B15=AutoPointPenalty!B7,"Correct solution","")</f>
        <v>Correct solution</v>
      </c>
      <c r="J15" s="91" t="s">
        <v>53</v>
      </c>
      <c r="K15" s="48">
        <v>62</v>
      </c>
      <c r="L15" s="47">
        <v>16.666666666666668</v>
      </c>
      <c r="M15" s="102">
        <v>289.81666666666666</v>
      </c>
      <c r="N15" s="48">
        <v>43</v>
      </c>
      <c r="O15" s="47">
        <v>6.1111111111111107</v>
      </c>
      <c r="P15" s="102">
        <v>279.26111111111106</v>
      </c>
      <c r="Q15" s="98"/>
      <c r="R15" s="99"/>
      <c r="S15" s="99"/>
      <c r="T15" s="99"/>
      <c r="U15" s="99"/>
      <c r="V15" s="99"/>
      <c r="W15" s="99"/>
    </row>
    <row r="16" spans="1:23" ht="17.25" customHeight="1">
      <c r="A16" s="40" t="s">
        <v>88</v>
      </c>
      <c r="B16" s="61">
        <f>COUNT(J5:P16)</f>
        <v>72</v>
      </c>
      <c r="C16" s="40" t="s">
        <v>33</v>
      </c>
      <c r="D16" s="59" t="str" cm="1">
        <f t="array" ref="D16">_xlfn.IFS(C16=CommonErrors!A$3,"Good",C16=CommonErrors!A$4,"Good",C16=CommonErrors!A10,"Good")</f>
        <v>Good</v>
      </c>
      <c r="E16" s="32" t="str">
        <f>IF(B16=AutoPointPenalty!B8,"Correct solution","")</f>
        <v>Correct solution</v>
      </c>
      <c r="J16" s="91" t="s">
        <v>54</v>
      </c>
      <c r="K16" s="48">
        <v>51</v>
      </c>
      <c r="L16" s="47">
        <v>10.555555555555555</v>
      </c>
      <c r="M16" s="102">
        <v>283.70555555555552</v>
      </c>
      <c r="N16" s="48">
        <v>35</v>
      </c>
      <c r="O16" s="47">
        <v>1.6666666666666665</v>
      </c>
      <c r="P16" s="102">
        <v>274.81666666666666</v>
      </c>
      <c r="Q16" s="98"/>
      <c r="R16" s="99"/>
      <c r="S16" s="99"/>
      <c r="T16" s="99"/>
      <c r="U16" s="99"/>
      <c r="V16" s="99"/>
      <c r="W16" s="99"/>
    </row>
    <row r="17" spans="1:23" ht="17.25" customHeight="1">
      <c r="A17" s="63" t="s">
        <v>69</v>
      </c>
      <c r="B17" s="75" t="s">
        <v>1475</v>
      </c>
      <c r="C17" s="1" t="s">
        <v>118</v>
      </c>
      <c r="E17" s="1"/>
      <c r="F17" s="1"/>
      <c r="G17" s="1" t="s">
        <v>113</v>
      </c>
      <c r="H17" s="1" t="s">
        <v>114</v>
      </c>
      <c r="I17" s="1" t="s">
        <v>85</v>
      </c>
      <c r="J17" s="44" t="s">
        <v>57</v>
      </c>
      <c r="Q17" s="100" t="s">
        <v>79</v>
      </c>
      <c r="R17" s="101"/>
      <c r="S17" s="99"/>
      <c r="T17" s="99"/>
      <c r="U17" s="99"/>
      <c r="V17" s="99"/>
      <c r="W17" s="99"/>
    </row>
    <row r="18" spans="1:23" ht="17.25" customHeight="1">
      <c r="A18" s="29" t="s">
        <v>91</v>
      </c>
      <c r="B18" s="35">
        <f>VLOOKUP("Sep",J5:P16,3,FALSE)</f>
        <v>21.666666666666668</v>
      </c>
      <c r="C18" s="36" t="s">
        <v>33</v>
      </c>
      <c r="D18" s="68" t="s">
        <v>85</v>
      </c>
      <c r="E18" s="38"/>
      <c r="Q18" s="100" t="s">
        <v>81</v>
      </c>
      <c r="R18" s="98"/>
      <c r="S18" s="99"/>
      <c r="T18" s="99"/>
      <c r="U18" s="99"/>
      <c r="V18" s="99"/>
      <c r="W18" s="99"/>
    </row>
    <row r="19" spans="1:23" ht="15.75" customHeight="1">
      <c r="A19" s="33" t="s">
        <v>108</v>
      </c>
      <c r="B19" s="61">
        <f>VLOOKUP("May",J5:P16,6,FALSE)</f>
        <v>20.555555555555554</v>
      </c>
      <c r="C19" s="40" t="s">
        <v>66</v>
      </c>
      <c r="D19" s="68" t="s">
        <v>85</v>
      </c>
      <c r="E19" s="38"/>
      <c r="J19" s="78" t="s">
        <v>44</v>
      </c>
      <c r="K19" s="82"/>
      <c r="L19" s="82"/>
      <c r="M19" s="83" t="s">
        <v>100</v>
      </c>
      <c r="N19" s="82"/>
      <c r="O19" s="82"/>
      <c r="P19" s="79">
        <v>0.222</v>
      </c>
      <c r="Q19" s="100" t="s">
        <v>75</v>
      </c>
      <c r="R19" s="98"/>
      <c r="S19" s="99"/>
      <c r="T19" s="99"/>
      <c r="U19" s="99"/>
      <c r="V19" s="99"/>
      <c r="W19" s="99"/>
    </row>
    <row r="20" spans="1:23" ht="17.25" customHeight="1">
      <c r="A20" s="33" t="s">
        <v>109</v>
      </c>
      <c r="B20" s="61">
        <f>VLOOKUP("Jul",J5:P16,7,FALSE)</f>
        <v>292.59444444444443</v>
      </c>
      <c r="C20" s="40" t="s">
        <v>33</v>
      </c>
      <c r="D20" s="68" t="s">
        <v>85</v>
      </c>
      <c r="E20" s="38"/>
      <c r="J20" s="119" t="s">
        <v>104</v>
      </c>
      <c r="K20" s="124" t="s">
        <v>95</v>
      </c>
      <c r="L20" s="124" t="s">
        <v>96</v>
      </c>
      <c r="M20" s="124" t="s">
        <v>97</v>
      </c>
      <c r="N20" s="124" t="s">
        <v>97</v>
      </c>
      <c r="O20" s="124" t="s">
        <v>101</v>
      </c>
      <c r="P20" s="124" t="s">
        <v>102</v>
      </c>
      <c r="Q20" s="100" t="s">
        <v>73</v>
      </c>
      <c r="R20" s="98"/>
      <c r="S20" s="99"/>
      <c r="T20" s="99"/>
      <c r="U20" s="99"/>
      <c r="V20" s="99"/>
      <c r="W20" s="99"/>
    </row>
    <row r="21" spans="1:23" ht="17.25" customHeight="1">
      <c r="A21" s="33" t="s">
        <v>110</v>
      </c>
      <c r="B21" s="61">
        <f>VLOOKUP("Feb",J5:P16,7,FALSE)</f>
        <v>275.92777777777775</v>
      </c>
      <c r="C21" s="40" t="s">
        <v>33</v>
      </c>
      <c r="D21" s="68" t="s">
        <v>85</v>
      </c>
      <c r="E21" s="38"/>
      <c r="J21" s="120"/>
      <c r="K21" s="125"/>
      <c r="L21" s="125"/>
      <c r="M21" s="125"/>
      <c r="N21" s="125"/>
      <c r="O21" s="125"/>
      <c r="P21" s="125"/>
      <c r="Q21" s="100" t="s">
        <v>80</v>
      </c>
      <c r="R21" s="98"/>
      <c r="S21" s="99"/>
      <c r="T21" s="99"/>
      <c r="U21" s="99"/>
      <c r="V21" s="99"/>
      <c r="W21" s="99"/>
    </row>
    <row r="22" spans="1:23" ht="17.25" customHeight="1">
      <c r="A22" s="33" t="s">
        <v>111</v>
      </c>
      <c r="B22" s="61">
        <f>VLOOKUP("Jul",J5:P16,4,FALSE)</f>
        <v>303.14999999999998</v>
      </c>
      <c r="C22" s="40" t="s">
        <v>78</v>
      </c>
      <c r="D22" s="68" t="s">
        <v>85</v>
      </c>
      <c r="E22" s="38"/>
      <c r="J22" s="84" t="s">
        <v>40</v>
      </c>
      <c r="K22" s="84" t="s">
        <v>105</v>
      </c>
      <c r="L22" s="84" t="s">
        <v>105</v>
      </c>
      <c r="M22" s="85" t="s">
        <v>98</v>
      </c>
      <c r="N22" s="84" t="s">
        <v>99</v>
      </c>
      <c r="O22" s="84" t="s">
        <v>98</v>
      </c>
      <c r="P22" s="84" t="s">
        <v>99</v>
      </c>
      <c r="Q22" s="100" t="s">
        <v>74</v>
      </c>
      <c r="R22" s="98"/>
      <c r="S22" s="99"/>
      <c r="T22" s="99"/>
      <c r="U22" s="99"/>
      <c r="V22" s="99"/>
      <c r="W22" s="99"/>
    </row>
    <row r="23" spans="1:23" ht="17.25" customHeight="1">
      <c r="A23" s="33" t="s">
        <v>83</v>
      </c>
      <c r="B23" s="61">
        <f>MEDIAN(L5:L16)</f>
        <v>21.944444444444443</v>
      </c>
      <c r="C23" s="40" t="s">
        <v>24</v>
      </c>
      <c r="D23" s="68" t="s">
        <v>85</v>
      </c>
      <c r="E23" s="38"/>
      <c r="J23" s="86" t="s">
        <v>43</v>
      </c>
      <c r="K23" s="87">
        <v>77</v>
      </c>
      <c r="L23" s="88">
        <v>6</v>
      </c>
      <c r="M23" s="89">
        <v>4.88</v>
      </c>
      <c r="N23" s="90">
        <v>18</v>
      </c>
      <c r="O23" s="90">
        <v>0.49</v>
      </c>
      <c r="P23" s="90">
        <v>2</v>
      </c>
      <c r="Q23" s="100"/>
      <c r="R23" s="98"/>
      <c r="S23" s="99"/>
      <c r="T23" s="99"/>
      <c r="U23" s="99"/>
      <c r="V23" s="99"/>
      <c r="W23" s="99"/>
    </row>
    <row r="24" spans="1:23">
      <c r="J24" s="84" t="s">
        <v>44</v>
      </c>
      <c r="K24" s="90">
        <v>80</v>
      </c>
      <c r="L24" s="88">
        <v>6</v>
      </c>
      <c r="M24" s="89">
        <v>4.68</v>
      </c>
      <c r="N24" s="90">
        <v>18</v>
      </c>
      <c r="O24" s="90">
        <v>0.34</v>
      </c>
      <c r="P24" s="90">
        <v>2</v>
      </c>
      <c r="Q24" s="98"/>
      <c r="R24" s="99"/>
      <c r="S24" s="99"/>
      <c r="T24" s="99"/>
      <c r="U24" s="99"/>
      <c r="V24" s="99"/>
      <c r="W24" s="99"/>
    </row>
    <row r="25" spans="1:23">
      <c r="J25" s="84" t="s">
        <v>45</v>
      </c>
      <c r="K25" s="90">
        <v>88</v>
      </c>
      <c r="L25" s="88">
        <v>15</v>
      </c>
      <c r="M25" s="89">
        <v>4.88</v>
      </c>
      <c r="N25" s="90">
        <v>19</v>
      </c>
      <c r="O25" s="90">
        <v>0</v>
      </c>
      <c r="P25" s="90">
        <v>0</v>
      </c>
      <c r="Q25" s="98"/>
      <c r="R25" s="99"/>
      <c r="S25" s="99"/>
      <c r="T25" s="99"/>
      <c r="U25" s="99"/>
      <c r="V25" s="99"/>
      <c r="W25" s="99"/>
    </row>
    <row r="26" spans="1:23">
      <c r="J26" s="84" t="s">
        <v>46</v>
      </c>
      <c r="K26" s="90">
        <v>88</v>
      </c>
      <c r="L26" s="88">
        <v>29</v>
      </c>
      <c r="M26" s="89">
        <v>4.37</v>
      </c>
      <c r="N26" s="90">
        <v>18</v>
      </c>
      <c r="O26" s="90">
        <v>0</v>
      </c>
      <c r="P26" s="90">
        <v>0</v>
      </c>
      <c r="Q26" s="98"/>
      <c r="R26" s="99"/>
      <c r="S26" s="99"/>
      <c r="T26" s="99"/>
      <c r="U26" s="99"/>
      <c r="V26" s="99"/>
      <c r="W26" s="99"/>
    </row>
    <row r="27" spans="1:23">
      <c r="J27" s="84" t="s">
        <v>47</v>
      </c>
      <c r="K27" s="90">
        <v>94</v>
      </c>
      <c r="L27" s="88">
        <v>39</v>
      </c>
      <c r="M27" s="89">
        <v>3.91</v>
      </c>
      <c r="N27" s="90">
        <v>21</v>
      </c>
      <c r="O27" s="90">
        <v>0</v>
      </c>
      <c r="P27" s="90">
        <v>0</v>
      </c>
      <c r="Q27" s="98"/>
      <c r="R27" s="99"/>
      <c r="S27" s="99"/>
      <c r="T27" s="99"/>
      <c r="U27" s="99"/>
      <c r="V27" s="99"/>
      <c r="W27" s="99"/>
    </row>
    <row r="28" spans="1:23">
      <c r="J28" s="84" t="s">
        <v>48</v>
      </c>
      <c r="K28" s="90">
        <v>102</v>
      </c>
      <c r="L28" s="88">
        <v>50</v>
      </c>
      <c r="M28" s="89">
        <v>4.72</v>
      </c>
      <c r="N28" s="90">
        <v>25</v>
      </c>
      <c r="O28" s="90">
        <v>0</v>
      </c>
      <c r="P28" s="90">
        <v>0</v>
      </c>
      <c r="Q28" s="98"/>
      <c r="R28" s="99"/>
      <c r="S28" s="99"/>
      <c r="T28" s="99"/>
      <c r="U28" s="99"/>
      <c r="V28" s="99"/>
      <c r="W28" s="99"/>
    </row>
    <row r="29" spans="1:23">
      <c r="J29" s="84" t="s">
        <v>49</v>
      </c>
      <c r="K29" s="90">
        <v>102</v>
      </c>
      <c r="L29" s="88">
        <v>57</v>
      </c>
      <c r="M29" s="89">
        <v>5.37</v>
      </c>
      <c r="N29" s="90">
        <v>29</v>
      </c>
      <c r="O29" s="90">
        <v>0</v>
      </c>
      <c r="P29" s="90">
        <v>0</v>
      </c>
      <c r="Q29" s="98"/>
      <c r="R29" s="99"/>
      <c r="S29" s="99"/>
      <c r="T29" s="99"/>
      <c r="U29" s="99"/>
      <c r="V29" s="99"/>
      <c r="W29" s="99"/>
    </row>
    <row r="30" spans="1:23">
      <c r="J30" s="84" t="s">
        <v>50</v>
      </c>
      <c r="K30" s="90">
        <v>100</v>
      </c>
      <c r="L30" s="88">
        <v>56</v>
      </c>
      <c r="M30" s="89">
        <v>5</v>
      </c>
      <c r="N30" s="90">
        <v>26</v>
      </c>
      <c r="O30" s="90">
        <v>0</v>
      </c>
      <c r="P30" s="90">
        <v>0</v>
      </c>
      <c r="Q30" s="98"/>
      <c r="R30" s="99"/>
      <c r="S30" s="99"/>
      <c r="T30" s="99"/>
      <c r="U30" s="99"/>
      <c r="V30" s="99"/>
      <c r="W30" s="99"/>
    </row>
    <row r="31" spans="1:23">
      <c r="J31" s="84" t="s">
        <v>51</v>
      </c>
      <c r="K31" s="90">
        <v>98</v>
      </c>
      <c r="L31" s="88">
        <v>43</v>
      </c>
      <c r="M31" s="89">
        <v>4.13</v>
      </c>
      <c r="N31" s="90">
        <v>18</v>
      </c>
      <c r="O31" s="90">
        <v>0</v>
      </c>
      <c r="P31" s="90">
        <v>0</v>
      </c>
      <c r="Q31" s="98"/>
      <c r="R31" s="99"/>
      <c r="S31" s="99"/>
      <c r="T31" s="99"/>
      <c r="U31" s="99"/>
      <c r="V31" s="99"/>
      <c r="W31" s="99"/>
    </row>
    <row r="32" spans="1:23">
      <c r="J32" s="84" t="s">
        <v>52</v>
      </c>
      <c r="K32" s="90">
        <v>97</v>
      </c>
      <c r="L32" s="88">
        <v>28</v>
      </c>
      <c r="M32" s="89">
        <v>3.54</v>
      </c>
      <c r="N32" s="90">
        <v>15</v>
      </c>
      <c r="O32" s="90">
        <v>0</v>
      </c>
      <c r="P32" s="90">
        <v>0</v>
      </c>
      <c r="Q32" s="98"/>
      <c r="R32" s="99"/>
      <c r="S32" s="99"/>
      <c r="T32" s="99"/>
      <c r="U32" s="99"/>
      <c r="V32" s="99"/>
      <c r="W32" s="99"/>
    </row>
    <row r="33" spans="10:23">
      <c r="J33" s="84" t="s">
        <v>53</v>
      </c>
      <c r="K33" s="90">
        <v>83</v>
      </c>
      <c r="L33" s="88">
        <v>18</v>
      </c>
      <c r="M33" s="89">
        <v>3.78</v>
      </c>
      <c r="N33" s="90">
        <v>15</v>
      </c>
      <c r="O33" s="90">
        <v>0</v>
      </c>
      <c r="P33" s="90">
        <v>0</v>
      </c>
      <c r="Q33" s="98"/>
      <c r="R33" s="99"/>
      <c r="S33" s="99"/>
      <c r="T33" s="99"/>
      <c r="U33" s="99"/>
      <c r="V33" s="99"/>
      <c r="W33" s="99"/>
    </row>
    <row r="34" spans="10:23">
      <c r="J34" s="84" t="s">
        <v>54</v>
      </c>
      <c r="K34" s="90">
        <v>77</v>
      </c>
      <c r="L34" s="88">
        <v>8</v>
      </c>
      <c r="M34" s="89">
        <v>4.88</v>
      </c>
      <c r="N34" s="90">
        <v>19</v>
      </c>
      <c r="O34" s="90">
        <v>0.12</v>
      </c>
      <c r="P34" s="90">
        <v>1</v>
      </c>
      <c r="Q34" s="98"/>
      <c r="R34" s="99"/>
      <c r="S34" s="99"/>
      <c r="T34" s="99"/>
      <c r="U34" s="99"/>
      <c r="V34" s="99"/>
      <c r="W34" s="99"/>
    </row>
    <row r="35" spans="10:23" ht="16.5">
      <c r="J35" s="81" t="s">
        <v>103</v>
      </c>
      <c r="Q35" s="98"/>
      <c r="R35" s="99"/>
      <c r="S35" s="99"/>
      <c r="T35" s="99"/>
      <c r="U35" s="99"/>
      <c r="V35" s="99"/>
      <c r="W35" s="99"/>
    </row>
  </sheetData>
  <sheetProtection formatCells="0" formatColumns="0" formatRows="0" selectLockedCells="1"/>
  <mergeCells count="9">
    <mergeCell ref="J20:J21"/>
    <mergeCell ref="K3:M3"/>
    <mergeCell ref="N3:P3"/>
    <mergeCell ref="K20:K21"/>
    <mergeCell ref="L20:L21"/>
    <mergeCell ref="M20:M21"/>
    <mergeCell ref="N20:N21"/>
    <mergeCell ref="O20:O21"/>
    <mergeCell ref="P20:P21"/>
  </mergeCells>
  <phoneticPr fontId="33" type="noConversion"/>
  <conditionalFormatting sqref="D4:D16">
    <cfRule type="cellIs" dxfId="1" priority="5" operator="equal">
      <formula>"Good"</formula>
    </cfRule>
  </conditionalFormatting>
  <conditionalFormatting sqref="E5:E16">
    <cfRule type="cellIs" dxfId="0" priority="3" operator="equal">
      <formula>"Correct Solution"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490337-8D81-49DF-9735-3B583CD8F637}">
          <x14:formula1>
            <xm:f>CommonErrors!$A$2:$A$13</xm:f>
          </x14:formula1>
          <xm:sqref>C4:C16</xm:sqref>
        </x14:dataValidation>
        <x14:dataValidation type="list" allowBlank="1" showInputMessage="1" showErrorMessage="1" xr:uid="{00000000-0002-0000-0100-000000000000}">
          <x14:formula1>
            <xm:f>CommonErrors!$A$2:$A$12</xm:f>
          </x14:formula1>
          <xm:sqref>C18:C23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2C49B-8406-456E-AE78-6B11E6D0F890}">
  <sheetPr codeName="Sheet8"/>
  <dimension ref="A1:Q94"/>
  <sheetViews>
    <sheetView topLeftCell="D1" workbookViewId="0">
      <selection activeCell="Q1" sqref="Q1"/>
    </sheetView>
  </sheetViews>
  <sheetFormatPr defaultColWidth="9.1796875" defaultRowHeight="14.5"/>
  <cols>
    <col min="1" max="16384" width="9.1796875" style="1"/>
  </cols>
  <sheetData>
    <row r="1" spans="1:17">
      <c r="A1" s="1">
        <v>0</v>
      </c>
      <c r="B1" s="1">
        <v>54.666666666666664</v>
      </c>
      <c r="C1" s="1">
        <v>12.59259259259259</v>
      </c>
      <c r="D1" s="1">
        <v>285.74259259259253</v>
      </c>
      <c r="E1" s="1">
        <v>38.333333333333336</v>
      </c>
      <c r="F1" s="1">
        <v>3.5185185185185177</v>
      </c>
      <c r="G1" s="1">
        <v>276.66851851851851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</row>
    <row r="2" spans="1:17">
      <c r="A2" s="1">
        <v>0</v>
      </c>
      <c r="B2" s="1">
        <v>54.7</v>
      </c>
      <c r="C2" s="1">
        <v>12.6</v>
      </c>
      <c r="D2" s="1">
        <v>285.7</v>
      </c>
      <c r="E2" s="1">
        <v>38.332999999999998</v>
      </c>
      <c r="F2" s="1">
        <v>3.5</v>
      </c>
      <c r="G2" s="1">
        <v>276.66899999999998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</row>
    <row r="3" spans="1:17">
      <c r="A3" s="1">
        <v>0</v>
      </c>
      <c r="B3" s="1">
        <v>70.25</v>
      </c>
      <c r="C3" s="1">
        <v>21.249999999999996</v>
      </c>
      <c r="D3" s="1">
        <v>294.39999999999992</v>
      </c>
      <c r="E3" s="1">
        <v>38.33</v>
      </c>
      <c r="F3" s="1">
        <v>11.388888888888888</v>
      </c>
      <c r="G3" s="1">
        <v>284.53888888888883</v>
      </c>
      <c r="H3" s="1">
        <v>294.39999999999992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</row>
    <row r="4" spans="1:17">
      <c r="A4" s="1">
        <v>0</v>
      </c>
      <c r="B4" s="1">
        <v>70.3</v>
      </c>
      <c r="C4" s="1">
        <v>21.3</v>
      </c>
      <c r="D4" s="1">
        <v>294.39999999999998</v>
      </c>
      <c r="E4" s="1">
        <v>38.299999999999997</v>
      </c>
      <c r="F4" s="1">
        <v>11.4</v>
      </c>
      <c r="G4" s="1">
        <v>284.5</v>
      </c>
      <c r="H4" s="1">
        <v>294.39999999999998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</row>
    <row r="5" spans="1:17">
      <c r="A5" s="1">
        <v>0</v>
      </c>
      <c r="B5" s="1">
        <v>70.25</v>
      </c>
      <c r="C5" s="1">
        <v>21.25</v>
      </c>
      <c r="D5" s="1">
        <v>294.39999999999998</v>
      </c>
      <c r="E5" s="1">
        <v>52.5</v>
      </c>
      <c r="F5" s="1">
        <v>11.388999999999999</v>
      </c>
      <c r="G5" s="1">
        <v>284.54000000000002</v>
      </c>
      <c r="H5" s="1">
        <v>294.39999999999998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</row>
    <row r="6" spans="1:17">
      <c r="A6" s="1">
        <v>0</v>
      </c>
      <c r="B6" s="1">
        <v>70</v>
      </c>
      <c r="C6" s="1">
        <v>21</v>
      </c>
      <c r="D6" s="1">
        <v>294</v>
      </c>
      <c r="E6" s="1">
        <v>52</v>
      </c>
      <c r="F6" s="1">
        <v>11</v>
      </c>
      <c r="G6" s="1">
        <v>284</v>
      </c>
      <c r="H6" s="1">
        <v>294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</row>
    <row r="7" spans="1:17">
      <c r="A7" s="1">
        <v>0</v>
      </c>
      <c r="B7" s="1">
        <v>12</v>
      </c>
      <c r="C7" s="1">
        <v>276.66851851851851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</row>
    <row r="8" spans="1:17">
      <c r="A8" s="1">
        <v>0</v>
      </c>
      <c r="B8" s="1">
        <v>72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</row>
    <row r="9" spans="1:17">
      <c r="A9" s="1">
        <v>0</v>
      </c>
      <c r="B9" s="1">
        <v>11.388888888888888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</row>
    <row r="10" spans="1:17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</row>
    <row r="11" spans="1:17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</row>
    <row r="12" spans="1:17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</row>
    <row r="13" spans="1:17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</row>
    <row r="14" spans="1:17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</row>
    <row r="15" spans="1:17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</row>
    <row r="16" spans="1:17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</row>
    <row r="17" spans="1:17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</row>
    <row r="18" spans="1:17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</row>
    <row r="19" spans="1:17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</row>
    <row r="20" spans="1:17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</row>
    <row r="22" spans="1:17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</row>
    <row r="23" spans="1:17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</row>
    <row r="24" spans="1:17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</row>
    <row r="25" spans="1:17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</row>
    <row r="26" spans="1:17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</row>
    <row r="27" spans="1:17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</row>
    <row r="28" spans="1:17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</row>
    <row r="29" spans="1:17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</row>
    <row r="30" spans="1:17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</row>
    <row r="31" spans="1:17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</row>
    <row r="32" spans="1:17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</row>
    <row r="33" spans="1:17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</row>
    <row r="34" spans="1:17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</row>
    <row r="35" spans="1:17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</row>
    <row r="36" spans="1:17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</row>
    <row r="37" spans="1:17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</row>
    <row r="38" spans="1:17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</row>
    <row r="39" spans="1:17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</row>
    <row r="40" spans="1:17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</row>
    <row r="41" spans="1:17">
      <c r="A41" s="1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</row>
    <row r="42" spans="1:17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</row>
    <row r="43" spans="1:17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</row>
    <row r="44" spans="1:17">
      <c r="A44" s="1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</row>
    <row r="45" spans="1:17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</row>
    <row r="46" spans="1:17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</row>
    <row r="47" spans="1:17">
      <c r="A47" s="1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</row>
    <row r="48" spans="1:17">
      <c r="A48" s="1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</row>
    <row r="49" spans="1:17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</row>
    <row r="50" spans="1:17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>
      <c r="A51" s="1">
        <v>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</row>
    <row r="52" spans="1:17">
      <c r="A52" s="1">
        <v>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</row>
    <row r="53" spans="1:17">
      <c r="A53" s="1">
        <v>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4" spans="1:17">
      <c r="A54" s="1">
        <v>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</row>
    <row r="55" spans="1:17">
      <c r="A55" s="1">
        <v>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</row>
    <row r="56" spans="1:17">
      <c r="A56" s="1">
        <v>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</row>
    <row r="57" spans="1:17">
      <c r="A57" s="1">
        <v>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</row>
    <row r="58" spans="1:17">
      <c r="A58" s="1">
        <v>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</row>
    <row r="59" spans="1:17">
      <c r="A59" s="1"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</row>
    <row r="60" spans="1:17">
      <c r="A60" s="1">
        <v>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</row>
    <row r="61" spans="1:17">
      <c r="A61" s="1">
        <v>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</row>
    <row r="62" spans="1:17">
      <c r="A62" s="1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</row>
    <row r="63" spans="1:17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</row>
    <row r="64" spans="1:17">
      <c r="A64" s="1">
        <v>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</row>
    <row r="65" spans="1:17">
      <c r="A65" s="1">
        <v>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</row>
    <row r="66" spans="1:17">
      <c r="A66" s="1">
        <v>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</row>
    <row r="67" spans="1:17">
      <c r="A67" s="1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</row>
    <row r="68" spans="1:17">
      <c r="A68" s="1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</row>
    <row r="69" spans="1:17">
      <c r="A69" s="1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</row>
    <row r="70" spans="1:17">
      <c r="A70" s="1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</row>
    <row r="71" spans="1:17">
      <c r="A71" s="1">
        <v>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</row>
    <row r="72" spans="1:17">
      <c r="A72" s="1">
        <v>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</row>
    <row r="73" spans="1:17">
      <c r="A73" s="1">
        <v>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</row>
    <row r="74" spans="1:17">
      <c r="A74" s="1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</row>
    <row r="75" spans="1:17">
      <c r="A75" s="1">
        <v>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</row>
    <row r="76" spans="1:17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</row>
    <row r="77" spans="1:17">
      <c r="A77" s="1">
        <v>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</row>
    <row r="78" spans="1:17">
      <c r="A78" s="1">
        <v>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</row>
    <row r="79" spans="1:17">
      <c r="A79" s="1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</row>
    <row r="80" spans="1:17">
      <c r="A80" s="1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</row>
    <row r="81" spans="1:17">
      <c r="A81" s="1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</row>
    <row r="82" spans="1:17">
      <c r="A82" s="1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</row>
    <row r="83" spans="1:17">
      <c r="A83" s="1">
        <v>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</row>
    <row r="84" spans="1:17">
      <c r="A84" s="1">
        <v>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</row>
    <row r="85" spans="1:17">
      <c r="A85" s="1">
        <v>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</row>
    <row r="86" spans="1:17">
      <c r="A86" s="1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</row>
    <row r="87" spans="1:17">
      <c r="A87" s="1">
        <v>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</row>
    <row r="88" spans="1:17">
      <c r="A88" s="1">
        <v>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</row>
    <row r="89" spans="1:17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</row>
    <row r="90" spans="1:17">
      <c r="A90" s="1">
        <v>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</row>
    <row r="91" spans="1:17">
      <c r="A91" s="1">
        <v>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</row>
    <row r="92" spans="1:17">
      <c r="A92" s="1">
        <v>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</row>
    <row r="93" spans="1:17">
      <c r="A93" s="1">
        <v>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</row>
    <row r="94" spans="1:17">
      <c r="A94" s="1">
        <v>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6"/>
  <sheetViews>
    <sheetView workbookViewId="0">
      <selection activeCell="A2" sqref="A2"/>
    </sheetView>
  </sheetViews>
  <sheetFormatPr defaultColWidth="8.81640625" defaultRowHeight="14.5"/>
  <cols>
    <col min="1" max="1" width="38.1796875" style="44" customWidth="1"/>
    <col min="2" max="2" width="62.1796875" style="44" customWidth="1"/>
  </cols>
  <sheetData>
    <row r="1" spans="1:2">
      <c r="A1" s="43" t="s">
        <v>22</v>
      </c>
      <c r="B1" s="43" t="s">
        <v>23</v>
      </c>
    </row>
    <row r="2" spans="1:2">
      <c r="A2" s="31" t="s">
        <v>31</v>
      </c>
      <c r="B2" s="44" t="s">
        <v>32</v>
      </c>
    </row>
    <row r="3" spans="1:2">
      <c r="A3" s="31" t="s">
        <v>24</v>
      </c>
      <c r="B3" s="44" t="s">
        <v>94</v>
      </c>
    </row>
    <row r="4" spans="1:2">
      <c r="A4" s="31" t="s">
        <v>33</v>
      </c>
      <c r="B4" s="44" t="s">
        <v>34</v>
      </c>
    </row>
    <row r="5" spans="1:2">
      <c r="A5" s="31" t="s">
        <v>35</v>
      </c>
      <c r="B5" s="44" t="s">
        <v>68</v>
      </c>
    </row>
    <row r="6" spans="1:2">
      <c r="A6" s="31" t="s">
        <v>66</v>
      </c>
      <c r="B6" s="44" t="s">
        <v>67</v>
      </c>
    </row>
    <row r="7" spans="1:2">
      <c r="A7" s="31" t="s">
        <v>25</v>
      </c>
      <c r="B7" s="44" t="s">
        <v>36</v>
      </c>
    </row>
    <row r="8" spans="1:2">
      <c r="A8" s="31" t="s">
        <v>37</v>
      </c>
      <c r="B8" s="44" t="s">
        <v>38</v>
      </c>
    </row>
    <row r="9" spans="1:2">
      <c r="A9" s="31" t="s">
        <v>78</v>
      </c>
      <c r="B9" s="44" t="s">
        <v>84</v>
      </c>
    </row>
    <row r="10" spans="1:2">
      <c r="A10" s="31" t="s">
        <v>71</v>
      </c>
      <c r="B10" s="44" t="s">
        <v>72</v>
      </c>
    </row>
    <row r="11" spans="1:2">
      <c r="A11" s="31" t="s">
        <v>26</v>
      </c>
      <c r="B11" s="44" t="s">
        <v>58</v>
      </c>
    </row>
    <row r="12" spans="1:2">
      <c r="A12" s="31" t="s">
        <v>27</v>
      </c>
      <c r="B12" s="44" t="s">
        <v>27</v>
      </c>
    </row>
    <row r="13" spans="1:2">
      <c r="A13" s="45"/>
      <c r="B13" s="45"/>
    </row>
    <row r="14" spans="1:2">
      <c r="A14" s="45"/>
      <c r="B14" s="45"/>
    </row>
    <row r="15" spans="1:2">
      <c r="A15" s="45"/>
      <c r="B15" s="45"/>
    </row>
    <row r="16" spans="1:2">
      <c r="A16" s="45"/>
      <c r="B16" s="45"/>
    </row>
    <row r="17" spans="1:2">
      <c r="A17" s="45"/>
      <c r="B17" s="45"/>
    </row>
    <row r="18" spans="1:2">
      <c r="A18" s="45"/>
      <c r="B18" s="45"/>
    </row>
    <row r="19" spans="1:2">
      <c r="A19" s="45"/>
      <c r="B19" s="45"/>
    </row>
    <row r="20" spans="1:2">
      <c r="A20" s="45" t="s">
        <v>118</v>
      </c>
      <c r="B20" s="45" t="s">
        <v>1475</v>
      </c>
    </row>
    <row r="21" spans="1:2">
      <c r="A21" s="45"/>
      <c r="B21" s="45"/>
    </row>
    <row r="22" spans="1:2">
      <c r="A22" s="45"/>
      <c r="B22" s="45"/>
    </row>
    <row r="23" spans="1:2">
      <c r="A23" s="45"/>
      <c r="B23" s="45"/>
    </row>
    <row r="24" spans="1:2">
      <c r="A24" s="45"/>
      <c r="B24" s="45"/>
    </row>
    <row r="25" spans="1:2">
      <c r="A25" s="45"/>
      <c r="B25" s="45"/>
    </row>
    <row r="26" spans="1:2">
      <c r="A26" s="45"/>
      <c r="B26" s="4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6342-AD98-4368-AE52-FAC8266C9461}">
  <sheetPr codeName="Sheet10">
    <tabColor rgb="FF00FF00"/>
  </sheetPr>
  <dimension ref="A1:D4"/>
  <sheetViews>
    <sheetView tabSelected="1" workbookViewId="0">
      <selection activeCell="G11" sqref="G11"/>
    </sheetView>
  </sheetViews>
  <sheetFormatPr defaultRowHeight="14.5"/>
  <cols>
    <col min="4" max="4" width="7.81640625" bestFit="1" customWidth="1"/>
  </cols>
  <sheetData>
    <row r="1" spans="1:4">
      <c r="A1" t="s">
        <v>1472</v>
      </c>
    </row>
    <row r="2" spans="1:4">
      <c r="A2" t="s">
        <v>1475</v>
      </c>
    </row>
    <row r="3" spans="1:4">
      <c r="A3" s="1" t="s">
        <v>118</v>
      </c>
      <c r="C3" s="19" t="s">
        <v>1473</v>
      </c>
      <c r="D3" s="117">
        <f>ROWS(peachtree_tenant_data!A:Y)</f>
        <v>1048576</v>
      </c>
    </row>
    <row r="4" spans="1:4">
      <c r="A4" s="1"/>
      <c r="C4" s="19" t="s">
        <v>1474</v>
      </c>
      <c r="D4" s="115">
        <f>COLUMNS(peachtree_tenant_data!1:1251)</f>
        <v>16384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4BCD1-4A52-45A2-B27B-8004D87AB4C4}">
  <sheetPr codeName="Sheet7"/>
  <dimension ref="A1:Y1251"/>
  <sheetViews>
    <sheetView topLeftCell="Q1229" workbookViewId="0">
      <selection activeCell="D1251" sqref="D1251"/>
    </sheetView>
  </sheetViews>
  <sheetFormatPr defaultRowHeight="14.5"/>
  <cols>
    <col min="1" max="1" width="11" bestFit="1" customWidth="1"/>
    <col min="2" max="2" width="14.81640625" bestFit="1" customWidth="1"/>
    <col min="3" max="3" width="8.453125" bestFit="1" customWidth="1"/>
    <col min="4" max="4" width="8.1796875" bestFit="1" customWidth="1"/>
    <col min="5" max="5" width="3.7265625" bestFit="1" customWidth="1"/>
    <col min="6" max="6" width="11" bestFit="1" customWidth="1"/>
    <col min="7" max="7" width="12.54296875" bestFit="1" customWidth="1"/>
    <col min="8" max="8" width="13.7265625" bestFit="1" customWidth="1"/>
    <col min="9" max="9" width="21.1796875" bestFit="1" customWidth="1"/>
    <col min="10" max="10" width="17.54296875" bestFit="1" customWidth="1"/>
    <col min="12" max="12" width="23.26953125" bestFit="1" customWidth="1"/>
    <col min="13" max="13" width="19.54296875" bestFit="1" customWidth="1"/>
    <col min="14" max="14" width="22.453125" bestFit="1" customWidth="1"/>
    <col min="15" max="15" width="18.08984375" bestFit="1" customWidth="1"/>
    <col min="16" max="16" width="14.54296875" bestFit="1" customWidth="1"/>
    <col min="17" max="17" width="19.54296875" bestFit="1" customWidth="1"/>
    <col min="18" max="18" width="19.1796875" bestFit="1" customWidth="1"/>
    <col min="19" max="19" width="16.08984375" bestFit="1" customWidth="1"/>
    <col min="20" max="20" width="16.54296875" bestFit="1" customWidth="1"/>
    <col min="21" max="21" width="20.1796875" bestFit="1" customWidth="1"/>
    <col min="22" max="22" width="18.90625" bestFit="1" customWidth="1"/>
    <col min="23" max="23" width="14.1796875" bestFit="1" customWidth="1"/>
    <col min="24" max="24" width="15.81640625" bestFit="1" customWidth="1"/>
    <col min="25" max="25" width="20.1796875" bestFit="1" customWidth="1"/>
  </cols>
  <sheetData>
    <row r="1" spans="1:25">
      <c r="A1" t="s">
        <v>119</v>
      </c>
      <c r="B1" t="s">
        <v>120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</row>
    <row r="2" spans="1:25">
      <c r="A2" t="s">
        <v>144</v>
      </c>
      <c r="B2" s="113">
        <v>43467</v>
      </c>
      <c r="C2" t="s">
        <v>145</v>
      </c>
      <c r="D2" t="s">
        <v>146</v>
      </c>
      <c r="E2">
        <v>42</v>
      </c>
      <c r="F2">
        <v>766</v>
      </c>
      <c r="G2" t="s">
        <v>147</v>
      </c>
      <c r="H2">
        <v>71977.037719999993</v>
      </c>
      <c r="I2">
        <v>71977.037719999993</v>
      </c>
      <c r="J2" t="s">
        <v>148</v>
      </c>
      <c r="K2" t="s">
        <v>148</v>
      </c>
      <c r="L2">
        <v>0.2</v>
      </c>
      <c r="M2" t="s">
        <v>149</v>
      </c>
      <c r="N2">
        <v>3</v>
      </c>
      <c r="O2">
        <v>4</v>
      </c>
      <c r="P2">
        <v>2</v>
      </c>
      <c r="Q2">
        <v>1000</v>
      </c>
      <c r="R2">
        <v>0.15931820699999999</v>
      </c>
      <c r="S2" t="s">
        <v>150</v>
      </c>
      <c r="T2">
        <v>23</v>
      </c>
      <c r="U2">
        <v>2</v>
      </c>
      <c r="V2">
        <v>23</v>
      </c>
      <c r="W2">
        <v>0</v>
      </c>
      <c r="X2" t="s">
        <v>151</v>
      </c>
      <c r="Y2" t="s">
        <v>152</v>
      </c>
    </row>
    <row r="3" spans="1:25">
      <c r="A3" t="s">
        <v>153</v>
      </c>
      <c r="B3" s="113">
        <v>43468</v>
      </c>
      <c r="C3" t="s">
        <v>145</v>
      </c>
      <c r="D3" t="s">
        <v>154</v>
      </c>
      <c r="E3">
        <v>47</v>
      </c>
      <c r="F3">
        <v>780</v>
      </c>
      <c r="G3" t="s">
        <v>155</v>
      </c>
      <c r="H3">
        <v>39184.466529999998</v>
      </c>
      <c r="I3">
        <v>39184.466529999998</v>
      </c>
      <c r="J3" t="s">
        <v>156</v>
      </c>
      <c r="K3" t="s">
        <v>156</v>
      </c>
      <c r="L3">
        <v>1.3</v>
      </c>
      <c r="M3" t="s">
        <v>149</v>
      </c>
      <c r="N3">
        <v>3</v>
      </c>
      <c r="O3">
        <v>1.1000000000000001</v>
      </c>
      <c r="P3">
        <v>4</v>
      </c>
      <c r="Q3">
        <v>1600</v>
      </c>
      <c r="R3">
        <v>0.15931820699999999</v>
      </c>
      <c r="S3" t="s">
        <v>150</v>
      </c>
      <c r="T3">
        <v>13</v>
      </c>
      <c r="U3">
        <v>0</v>
      </c>
      <c r="V3">
        <v>13</v>
      </c>
      <c r="W3">
        <v>0</v>
      </c>
      <c r="X3" t="s">
        <v>149</v>
      </c>
      <c r="Y3" t="s">
        <v>157</v>
      </c>
    </row>
    <row r="4" spans="1:25">
      <c r="A4" t="s">
        <v>158</v>
      </c>
      <c r="B4" s="113">
        <v>43470</v>
      </c>
      <c r="C4" t="s">
        <v>159</v>
      </c>
      <c r="D4" t="s">
        <v>160</v>
      </c>
      <c r="E4">
        <v>54</v>
      </c>
      <c r="F4">
        <v>694</v>
      </c>
      <c r="G4" t="s">
        <v>155</v>
      </c>
      <c r="H4">
        <v>162962.704</v>
      </c>
      <c r="I4">
        <v>162962.704</v>
      </c>
      <c r="J4" t="s">
        <v>148</v>
      </c>
      <c r="K4" t="s">
        <v>148</v>
      </c>
      <c r="L4">
        <v>4.5999999999999996</v>
      </c>
      <c r="M4" t="s">
        <v>149</v>
      </c>
      <c r="N4">
        <v>2</v>
      </c>
      <c r="O4">
        <v>8.4</v>
      </c>
      <c r="P4">
        <v>3</v>
      </c>
      <c r="Q4">
        <v>1000</v>
      </c>
      <c r="R4">
        <v>0.31456656100000002</v>
      </c>
      <c r="S4" t="s">
        <v>150</v>
      </c>
      <c r="T4">
        <v>17</v>
      </c>
      <c r="U4">
        <v>2</v>
      </c>
      <c r="V4">
        <v>17</v>
      </c>
      <c r="W4">
        <v>0</v>
      </c>
      <c r="X4" t="s">
        <v>149</v>
      </c>
      <c r="Y4" t="s">
        <v>157</v>
      </c>
    </row>
    <row r="5" spans="1:25">
      <c r="A5" t="s">
        <v>161</v>
      </c>
      <c r="B5" s="113">
        <v>43472</v>
      </c>
      <c r="C5" t="s">
        <v>162</v>
      </c>
      <c r="D5" t="s">
        <v>163</v>
      </c>
      <c r="E5">
        <v>31</v>
      </c>
      <c r="F5">
        <v>623</v>
      </c>
      <c r="G5" t="s">
        <v>147</v>
      </c>
      <c r="H5">
        <v>51081.461410000004</v>
      </c>
      <c r="I5">
        <v>51081.461410000004</v>
      </c>
      <c r="J5" t="s">
        <v>148</v>
      </c>
      <c r="K5" t="s">
        <v>148</v>
      </c>
      <c r="L5">
        <v>1.8</v>
      </c>
      <c r="M5" t="s">
        <v>149</v>
      </c>
      <c r="N5">
        <v>4</v>
      </c>
      <c r="O5">
        <v>0.9</v>
      </c>
      <c r="P5">
        <v>3</v>
      </c>
      <c r="Q5">
        <v>1300</v>
      </c>
      <c r="R5">
        <v>0.46177917600000001</v>
      </c>
      <c r="S5" t="s">
        <v>150</v>
      </c>
      <c r="T5">
        <v>14</v>
      </c>
      <c r="U5">
        <v>1</v>
      </c>
      <c r="V5">
        <v>14</v>
      </c>
      <c r="W5">
        <v>0</v>
      </c>
      <c r="X5" t="s">
        <v>149</v>
      </c>
      <c r="Y5" t="s">
        <v>157</v>
      </c>
    </row>
    <row r="6" spans="1:25">
      <c r="A6" t="s">
        <v>164</v>
      </c>
      <c r="B6" s="113">
        <v>43474</v>
      </c>
      <c r="C6" t="s">
        <v>159</v>
      </c>
      <c r="D6" t="s">
        <v>165</v>
      </c>
      <c r="E6">
        <v>65</v>
      </c>
      <c r="F6">
        <v>691</v>
      </c>
      <c r="G6" t="s">
        <v>147</v>
      </c>
      <c r="H6">
        <v>120226.0138</v>
      </c>
      <c r="J6" t="s">
        <v>148</v>
      </c>
      <c r="K6" t="s">
        <v>166</v>
      </c>
      <c r="L6">
        <v>1.2</v>
      </c>
      <c r="M6" t="s">
        <v>149</v>
      </c>
      <c r="N6">
        <v>5</v>
      </c>
      <c r="O6">
        <v>1.4</v>
      </c>
      <c r="P6">
        <v>4</v>
      </c>
      <c r="Q6">
        <v>1650</v>
      </c>
      <c r="R6">
        <v>0.59719544099999999</v>
      </c>
      <c r="S6" t="s">
        <v>150</v>
      </c>
      <c r="T6">
        <v>21</v>
      </c>
      <c r="U6">
        <v>1</v>
      </c>
      <c r="V6">
        <v>21</v>
      </c>
      <c r="W6">
        <v>0</v>
      </c>
      <c r="X6" t="s">
        <v>151</v>
      </c>
      <c r="Y6" t="s">
        <v>152</v>
      </c>
    </row>
    <row r="7" spans="1:25">
      <c r="A7" t="s">
        <v>167</v>
      </c>
      <c r="B7" s="113">
        <v>43476</v>
      </c>
      <c r="C7" t="s">
        <v>159</v>
      </c>
      <c r="D7" t="s">
        <v>168</v>
      </c>
      <c r="E7">
        <v>44</v>
      </c>
      <c r="F7">
        <v>787</v>
      </c>
      <c r="G7" t="s">
        <v>169</v>
      </c>
      <c r="H7">
        <v>89883.092229999995</v>
      </c>
      <c r="I7">
        <v>89883.092229999995</v>
      </c>
      <c r="J7" t="s">
        <v>170</v>
      </c>
      <c r="K7" t="s">
        <v>166</v>
      </c>
      <c r="L7">
        <v>0.8</v>
      </c>
      <c r="M7" t="s">
        <v>149</v>
      </c>
      <c r="N7">
        <v>6</v>
      </c>
      <c r="O7">
        <v>11.4</v>
      </c>
      <c r="P7">
        <v>3</v>
      </c>
      <c r="Q7">
        <v>1250</v>
      </c>
      <c r="R7">
        <v>0.71735609099999997</v>
      </c>
      <c r="S7" t="s">
        <v>150</v>
      </c>
      <c r="T7">
        <v>9</v>
      </c>
      <c r="U7">
        <v>0</v>
      </c>
      <c r="V7">
        <v>9</v>
      </c>
      <c r="W7">
        <v>0</v>
      </c>
      <c r="X7" t="s">
        <v>151</v>
      </c>
      <c r="Y7" t="s">
        <v>152</v>
      </c>
    </row>
    <row r="8" spans="1:25">
      <c r="A8" t="s">
        <v>171</v>
      </c>
      <c r="B8" s="113">
        <v>43476</v>
      </c>
      <c r="C8" t="s">
        <v>145</v>
      </c>
      <c r="D8" t="s">
        <v>172</v>
      </c>
      <c r="E8">
        <v>63</v>
      </c>
      <c r="F8">
        <v>774</v>
      </c>
      <c r="G8" t="s">
        <v>147</v>
      </c>
      <c r="H8">
        <v>56541.40395</v>
      </c>
      <c r="I8">
        <v>56541.40395</v>
      </c>
      <c r="J8" t="s">
        <v>148</v>
      </c>
      <c r="K8" t="s">
        <v>148</v>
      </c>
      <c r="L8">
        <v>8.6</v>
      </c>
      <c r="M8" t="s">
        <v>149</v>
      </c>
      <c r="N8">
        <v>1</v>
      </c>
      <c r="O8">
        <v>0.3</v>
      </c>
      <c r="P8">
        <v>1</v>
      </c>
      <c r="Q8">
        <v>2000</v>
      </c>
      <c r="R8">
        <v>0.81919156800000004</v>
      </c>
      <c r="S8" t="s">
        <v>150</v>
      </c>
      <c r="T8">
        <v>11</v>
      </c>
      <c r="U8">
        <v>0</v>
      </c>
      <c r="V8">
        <v>11</v>
      </c>
      <c r="W8">
        <v>0</v>
      </c>
      <c r="X8" t="s">
        <v>151</v>
      </c>
      <c r="Y8" t="s">
        <v>152</v>
      </c>
    </row>
    <row r="9" spans="1:25">
      <c r="A9" t="s">
        <v>173</v>
      </c>
      <c r="B9" s="113">
        <v>43477</v>
      </c>
      <c r="C9" t="s">
        <v>145</v>
      </c>
      <c r="D9" t="s">
        <v>154</v>
      </c>
      <c r="E9">
        <v>59</v>
      </c>
      <c r="F9">
        <v>672</v>
      </c>
      <c r="G9" t="s">
        <v>155</v>
      </c>
      <c r="H9">
        <v>105526.62850000001</v>
      </c>
      <c r="I9">
        <v>105526.62850000001</v>
      </c>
      <c r="J9" t="s">
        <v>148</v>
      </c>
      <c r="K9" t="s">
        <v>148</v>
      </c>
      <c r="L9">
        <v>1.6</v>
      </c>
      <c r="M9" t="s">
        <v>149</v>
      </c>
      <c r="N9">
        <v>2</v>
      </c>
      <c r="O9">
        <v>3.1</v>
      </c>
      <c r="P9">
        <v>3</v>
      </c>
      <c r="Q9">
        <v>1300</v>
      </c>
      <c r="R9">
        <v>0.90010044199999995</v>
      </c>
      <c r="S9" t="s">
        <v>150</v>
      </c>
      <c r="T9">
        <v>23</v>
      </c>
      <c r="U9">
        <v>2</v>
      </c>
      <c r="V9">
        <v>23</v>
      </c>
      <c r="W9">
        <v>0</v>
      </c>
      <c r="X9" t="s">
        <v>151</v>
      </c>
      <c r="Y9" t="s">
        <v>152</v>
      </c>
    </row>
    <row r="10" spans="1:25">
      <c r="A10" t="s">
        <v>174</v>
      </c>
      <c r="B10" s="113">
        <v>43479</v>
      </c>
      <c r="C10" t="s">
        <v>159</v>
      </c>
      <c r="D10" t="s">
        <v>165</v>
      </c>
      <c r="E10">
        <v>34</v>
      </c>
      <c r="F10">
        <v>772</v>
      </c>
      <c r="G10" t="s">
        <v>169</v>
      </c>
      <c r="H10">
        <v>34112.744789999997</v>
      </c>
      <c r="I10">
        <v>34112.744789999997</v>
      </c>
      <c r="J10" t="s">
        <v>148</v>
      </c>
      <c r="K10" t="s">
        <v>148</v>
      </c>
      <c r="L10">
        <v>16.100000000000001</v>
      </c>
      <c r="M10" t="s">
        <v>149</v>
      </c>
      <c r="N10">
        <v>2</v>
      </c>
      <c r="O10">
        <v>2.2999999999999998</v>
      </c>
      <c r="P10">
        <v>2</v>
      </c>
      <c r="Q10">
        <v>950</v>
      </c>
      <c r="R10">
        <v>0.95801586000000005</v>
      </c>
      <c r="S10" t="s">
        <v>150</v>
      </c>
      <c r="T10">
        <v>15</v>
      </c>
      <c r="U10">
        <v>0</v>
      </c>
      <c r="V10">
        <v>15</v>
      </c>
      <c r="W10">
        <v>1</v>
      </c>
      <c r="X10" t="s">
        <v>149</v>
      </c>
      <c r="Y10" t="s">
        <v>157</v>
      </c>
    </row>
    <row r="11" spans="1:25">
      <c r="A11" t="s">
        <v>175</v>
      </c>
      <c r="B11" s="113">
        <v>43480</v>
      </c>
      <c r="C11" t="s">
        <v>159</v>
      </c>
      <c r="D11" t="s">
        <v>165</v>
      </c>
      <c r="E11">
        <v>69</v>
      </c>
      <c r="F11">
        <v>763</v>
      </c>
      <c r="G11" t="s">
        <v>176</v>
      </c>
      <c r="H11">
        <v>16481.66678</v>
      </c>
      <c r="I11">
        <v>16481.66678</v>
      </c>
      <c r="J11" t="s">
        <v>156</v>
      </c>
      <c r="K11" t="s">
        <v>156</v>
      </c>
      <c r="L11">
        <v>4.9000000000000004</v>
      </c>
      <c r="M11" t="s">
        <v>149</v>
      </c>
      <c r="N11">
        <v>5</v>
      </c>
      <c r="O11">
        <v>6.6</v>
      </c>
      <c r="P11">
        <v>2</v>
      </c>
      <c r="Q11">
        <v>800</v>
      </c>
      <c r="R11">
        <v>0.99145834799999999</v>
      </c>
      <c r="S11" t="s">
        <v>150</v>
      </c>
      <c r="T11">
        <v>18</v>
      </c>
      <c r="U11">
        <v>0</v>
      </c>
      <c r="V11">
        <v>18</v>
      </c>
      <c r="W11">
        <v>0</v>
      </c>
      <c r="X11" t="s">
        <v>149</v>
      </c>
      <c r="Y11" t="s">
        <v>157</v>
      </c>
    </row>
    <row r="12" spans="1:25">
      <c r="A12" t="s">
        <v>177</v>
      </c>
      <c r="B12" s="113">
        <v>43488</v>
      </c>
      <c r="C12" t="s">
        <v>162</v>
      </c>
      <c r="D12" t="s">
        <v>163</v>
      </c>
      <c r="E12">
        <v>43</v>
      </c>
      <c r="F12">
        <v>829</v>
      </c>
      <c r="G12" t="s">
        <v>176</v>
      </c>
      <c r="H12">
        <v>24968.19022</v>
      </c>
      <c r="I12">
        <v>24968.19022</v>
      </c>
      <c r="J12" t="s">
        <v>148</v>
      </c>
      <c r="K12" t="s">
        <v>148</v>
      </c>
      <c r="L12">
        <v>2.4</v>
      </c>
      <c r="M12" t="s">
        <v>149</v>
      </c>
      <c r="N12">
        <v>2</v>
      </c>
      <c r="O12">
        <v>11.1</v>
      </c>
      <c r="P12">
        <v>1</v>
      </c>
      <c r="Q12">
        <v>1900</v>
      </c>
      <c r="R12">
        <v>0.99957360299999998</v>
      </c>
      <c r="S12" t="s">
        <v>150</v>
      </c>
      <c r="T12">
        <v>12</v>
      </c>
      <c r="U12">
        <v>0</v>
      </c>
      <c r="V12">
        <v>12</v>
      </c>
      <c r="W12">
        <v>0</v>
      </c>
      <c r="X12" t="s">
        <v>151</v>
      </c>
      <c r="Y12" t="s">
        <v>152</v>
      </c>
    </row>
    <row r="13" spans="1:25">
      <c r="A13" t="s">
        <v>178</v>
      </c>
      <c r="B13" s="113">
        <v>43490</v>
      </c>
      <c r="C13" t="s">
        <v>162</v>
      </c>
      <c r="D13" t="s">
        <v>179</v>
      </c>
      <c r="E13">
        <v>41</v>
      </c>
      <c r="F13">
        <v>948</v>
      </c>
      <c r="G13" t="s">
        <v>155</v>
      </c>
      <c r="H13">
        <v>297113.42879999999</v>
      </c>
      <c r="I13">
        <v>297113.42879999999</v>
      </c>
      <c r="J13" t="s">
        <v>148</v>
      </c>
      <c r="K13" t="s">
        <v>148</v>
      </c>
      <c r="L13">
        <v>2.7</v>
      </c>
      <c r="M13" t="s">
        <v>149</v>
      </c>
      <c r="N13">
        <v>3</v>
      </c>
      <c r="O13">
        <v>4.5999999999999996</v>
      </c>
      <c r="P13">
        <v>4</v>
      </c>
      <c r="Q13">
        <v>1250</v>
      </c>
      <c r="R13">
        <v>0.982154317</v>
      </c>
      <c r="S13" t="s">
        <v>150</v>
      </c>
      <c r="T13">
        <v>16</v>
      </c>
      <c r="U13">
        <v>0</v>
      </c>
      <c r="V13">
        <v>16</v>
      </c>
      <c r="W13">
        <v>0</v>
      </c>
      <c r="X13" t="s">
        <v>151</v>
      </c>
      <c r="Y13" t="s">
        <v>152</v>
      </c>
    </row>
    <row r="14" spans="1:25">
      <c r="A14" t="s">
        <v>180</v>
      </c>
      <c r="B14" s="113">
        <v>43491</v>
      </c>
      <c r="C14" t="s">
        <v>159</v>
      </c>
      <c r="D14" t="s">
        <v>160</v>
      </c>
      <c r="E14">
        <v>28</v>
      </c>
      <c r="F14">
        <v>803</v>
      </c>
      <c r="G14" t="s">
        <v>169</v>
      </c>
      <c r="H14">
        <v>58607.808420000001</v>
      </c>
      <c r="I14">
        <v>58607.808420000001</v>
      </c>
      <c r="J14" t="s">
        <v>181</v>
      </c>
      <c r="K14" t="s">
        <v>181</v>
      </c>
      <c r="L14">
        <v>7.6</v>
      </c>
      <c r="M14" t="s">
        <v>149</v>
      </c>
      <c r="N14">
        <v>0</v>
      </c>
      <c r="O14">
        <v>0.9</v>
      </c>
      <c r="P14">
        <v>2</v>
      </c>
      <c r="Q14">
        <v>1300</v>
      </c>
      <c r="R14">
        <v>0.93964547399999998</v>
      </c>
      <c r="S14" t="s">
        <v>150</v>
      </c>
      <c r="T14">
        <v>23</v>
      </c>
      <c r="U14">
        <v>1</v>
      </c>
      <c r="V14">
        <v>23</v>
      </c>
      <c r="W14">
        <v>0</v>
      </c>
      <c r="X14" t="s">
        <v>149</v>
      </c>
      <c r="Y14" t="s">
        <v>157</v>
      </c>
    </row>
    <row r="15" spans="1:25">
      <c r="A15" t="s">
        <v>182</v>
      </c>
      <c r="B15" s="113">
        <v>43492</v>
      </c>
      <c r="C15" t="s">
        <v>162</v>
      </c>
      <c r="D15" t="s">
        <v>163</v>
      </c>
      <c r="E15">
        <v>23</v>
      </c>
      <c r="F15">
        <v>538</v>
      </c>
      <c r="G15" t="s">
        <v>169</v>
      </c>
      <c r="H15">
        <v>48270.146159999997</v>
      </c>
      <c r="I15">
        <v>48270.146159999997</v>
      </c>
      <c r="J15" t="s">
        <v>183</v>
      </c>
      <c r="K15" t="s">
        <v>183</v>
      </c>
      <c r="L15">
        <v>1</v>
      </c>
      <c r="M15" t="s">
        <v>149</v>
      </c>
      <c r="N15">
        <v>1</v>
      </c>
      <c r="O15">
        <v>6.1</v>
      </c>
      <c r="P15">
        <v>3</v>
      </c>
      <c r="Q15">
        <v>900</v>
      </c>
      <c r="R15">
        <v>0.87313297999999995</v>
      </c>
      <c r="S15" t="s">
        <v>150</v>
      </c>
      <c r="T15">
        <v>13</v>
      </c>
      <c r="U15">
        <v>0</v>
      </c>
      <c r="V15">
        <v>13</v>
      </c>
      <c r="W15">
        <v>0</v>
      </c>
      <c r="X15" t="s">
        <v>151</v>
      </c>
      <c r="Y15" t="s">
        <v>152</v>
      </c>
    </row>
    <row r="16" spans="1:25">
      <c r="A16" t="s">
        <v>184</v>
      </c>
      <c r="B16" s="113">
        <v>43495</v>
      </c>
      <c r="C16" t="s">
        <v>159</v>
      </c>
      <c r="D16" t="s">
        <v>165</v>
      </c>
      <c r="E16">
        <v>38</v>
      </c>
      <c r="F16">
        <v>762</v>
      </c>
      <c r="G16" t="s">
        <v>155</v>
      </c>
      <c r="H16">
        <v>222176.73759999999</v>
      </c>
      <c r="I16">
        <v>222176.73759999999</v>
      </c>
      <c r="J16" t="s">
        <v>148</v>
      </c>
      <c r="K16" t="s">
        <v>148</v>
      </c>
      <c r="L16">
        <v>4.0999999999999996</v>
      </c>
      <c r="M16" t="s">
        <v>149</v>
      </c>
      <c r="N16">
        <v>4</v>
      </c>
      <c r="O16">
        <v>26.4</v>
      </c>
      <c r="P16">
        <v>1</v>
      </c>
      <c r="Q16">
        <v>800</v>
      </c>
      <c r="R16">
        <v>0.78431592500000002</v>
      </c>
      <c r="S16" t="s">
        <v>150</v>
      </c>
      <c r="T16">
        <v>9</v>
      </c>
      <c r="U16">
        <v>0</v>
      </c>
      <c r="V16">
        <v>9</v>
      </c>
      <c r="W16">
        <v>0</v>
      </c>
      <c r="X16" t="s">
        <v>151</v>
      </c>
      <c r="Y16" t="s">
        <v>152</v>
      </c>
    </row>
    <row r="17" spans="1:25">
      <c r="A17" t="s">
        <v>185</v>
      </c>
      <c r="B17" s="113">
        <v>43497</v>
      </c>
      <c r="C17" t="s">
        <v>159</v>
      </c>
      <c r="D17" t="s">
        <v>165</v>
      </c>
      <c r="E17">
        <v>57</v>
      </c>
      <c r="F17">
        <v>699</v>
      </c>
      <c r="G17" t="s">
        <v>155</v>
      </c>
      <c r="H17">
        <v>278398.96179999999</v>
      </c>
      <c r="J17" t="s">
        <v>148</v>
      </c>
      <c r="K17" t="s">
        <v>148</v>
      </c>
      <c r="L17">
        <v>1.1000000000000001</v>
      </c>
      <c r="M17" t="s">
        <v>149</v>
      </c>
      <c r="N17">
        <v>1</v>
      </c>
      <c r="O17">
        <v>12.7</v>
      </c>
      <c r="P17">
        <v>3</v>
      </c>
      <c r="Q17">
        <v>1500</v>
      </c>
      <c r="R17">
        <v>0.67546318100000002</v>
      </c>
      <c r="S17" t="s">
        <v>150</v>
      </c>
      <c r="T17">
        <v>9</v>
      </c>
      <c r="U17">
        <v>0</v>
      </c>
      <c r="V17">
        <v>9</v>
      </c>
      <c r="W17">
        <v>0</v>
      </c>
      <c r="X17" t="s">
        <v>151</v>
      </c>
      <c r="Y17" t="s">
        <v>152</v>
      </c>
    </row>
    <row r="18" spans="1:25">
      <c r="A18" t="s">
        <v>186</v>
      </c>
      <c r="B18" s="113">
        <v>43497</v>
      </c>
      <c r="C18" t="s">
        <v>162</v>
      </c>
      <c r="D18" t="s">
        <v>187</v>
      </c>
      <c r="E18">
        <v>48</v>
      </c>
      <c r="F18">
        <v>698</v>
      </c>
      <c r="G18" t="s">
        <v>155</v>
      </c>
      <c r="H18">
        <v>42152.63321</v>
      </c>
      <c r="I18">
        <v>42152.63321</v>
      </c>
      <c r="J18" t="s">
        <v>148</v>
      </c>
      <c r="K18" t="s">
        <v>148</v>
      </c>
      <c r="L18">
        <v>3.4</v>
      </c>
      <c r="M18" t="s">
        <v>149</v>
      </c>
      <c r="N18">
        <v>2</v>
      </c>
      <c r="O18">
        <v>1.8</v>
      </c>
      <c r="P18">
        <v>3</v>
      </c>
      <c r="Q18">
        <v>1650</v>
      </c>
      <c r="R18">
        <v>0.54935543600000003</v>
      </c>
      <c r="S18" t="s">
        <v>150</v>
      </c>
      <c r="T18">
        <v>16</v>
      </c>
      <c r="U18">
        <v>0</v>
      </c>
      <c r="V18">
        <v>16</v>
      </c>
      <c r="W18">
        <v>0</v>
      </c>
      <c r="X18" t="s">
        <v>151</v>
      </c>
      <c r="Y18" t="s">
        <v>152</v>
      </c>
    </row>
    <row r="19" spans="1:25">
      <c r="A19" t="s">
        <v>188</v>
      </c>
      <c r="B19" s="113">
        <v>43498</v>
      </c>
      <c r="C19" t="s">
        <v>145</v>
      </c>
      <c r="D19" t="s">
        <v>172</v>
      </c>
      <c r="E19">
        <v>59</v>
      </c>
      <c r="F19">
        <v>690</v>
      </c>
      <c r="G19" t="s">
        <v>169</v>
      </c>
      <c r="H19">
        <v>35929.603360000001</v>
      </c>
      <c r="I19">
        <v>35929.603360000001</v>
      </c>
      <c r="J19" t="s">
        <v>148</v>
      </c>
      <c r="K19" t="s">
        <v>148</v>
      </c>
      <c r="L19">
        <v>0</v>
      </c>
      <c r="M19" t="s">
        <v>149</v>
      </c>
      <c r="N19">
        <v>2</v>
      </c>
      <c r="O19">
        <v>5</v>
      </c>
      <c r="P19">
        <v>3</v>
      </c>
      <c r="Q19">
        <v>1400</v>
      </c>
      <c r="R19">
        <v>0.40921416999999999</v>
      </c>
      <c r="S19" t="s">
        <v>150</v>
      </c>
      <c r="T19">
        <v>22</v>
      </c>
      <c r="U19">
        <v>2</v>
      </c>
      <c r="V19">
        <v>22</v>
      </c>
      <c r="W19">
        <v>0</v>
      </c>
      <c r="X19" t="s">
        <v>149</v>
      </c>
      <c r="Y19" t="s">
        <v>157</v>
      </c>
    </row>
    <row r="20" spans="1:25">
      <c r="A20" t="s">
        <v>189</v>
      </c>
      <c r="B20" s="113">
        <v>43499</v>
      </c>
      <c r="C20" t="s">
        <v>162</v>
      </c>
      <c r="D20" t="s">
        <v>190</v>
      </c>
      <c r="E20">
        <v>35</v>
      </c>
      <c r="F20">
        <v>514</v>
      </c>
      <c r="G20" t="s">
        <v>176</v>
      </c>
      <c r="H20">
        <v>49936.634720000002</v>
      </c>
      <c r="I20">
        <v>49936.634720000002</v>
      </c>
      <c r="J20" t="s">
        <v>156</v>
      </c>
      <c r="K20" t="s">
        <v>156</v>
      </c>
      <c r="L20">
        <v>7.6</v>
      </c>
      <c r="M20" t="s">
        <v>149</v>
      </c>
      <c r="N20">
        <v>4</v>
      </c>
      <c r="O20">
        <v>3</v>
      </c>
      <c r="P20">
        <v>3</v>
      </c>
      <c r="Q20">
        <v>1300</v>
      </c>
      <c r="R20">
        <v>0.25861935000000003</v>
      </c>
      <c r="S20" t="s">
        <v>150</v>
      </c>
      <c r="T20">
        <v>20</v>
      </c>
      <c r="U20">
        <v>1</v>
      </c>
      <c r="V20">
        <v>20</v>
      </c>
      <c r="W20">
        <v>0</v>
      </c>
      <c r="X20" t="s">
        <v>149</v>
      </c>
      <c r="Y20" t="s">
        <v>157</v>
      </c>
    </row>
    <row r="21" spans="1:25">
      <c r="A21" t="s">
        <v>191</v>
      </c>
      <c r="B21" s="113">
        <v>43504</v>
      </c>
      <c r="C21" t="s">
        <v>145</v>
      </c>
      <c r="D21" t="s">
        <v>154</v>
      </c>
      <c r="E21">
        <v>42</v>
      </c>
      <c r="F21">
        <v>763</v>
      </c>
      <c r="G21" t="s">
        <v>147</v>
      </c>
      <c r="H21">
        <v>53561.342250000002</v>
      </c>
      <c r="J21" t="s">
        <v>148</v>
      </c>
      <c r="K21" t="s">
        <v>148</v>
      </c>
      <c r="L21">
        <v>2</v>
      </c>
      <c r="M21" t="s">
        <v>149</v>
      </c>
      <c r="N21">
        <v>1</v>
      </c>
      <c r="O21">
        <v>3.5</v>
      </c>
      <c r="P21">
        <v>3</v>
      </c>
      <c r="Q21">
        <v>1550</v>
      </c>
      <c r="R21">
        <v>0.101417986</v>
      </c>
      <c r="S21" t="s">
        <v>150</v>
      </c>
      <c r="T21">
        <v>14</v>
      </c>
      <c r="U21">
        <v>0</v>
      </c>
      <c r="V21">
        <v>14</v>
      </c>
      <c r="W21">
        <v>0</v>
      </c>
      <c r="X21" t="s">
        <v>149</v>
      </c>
      <c r="Y21" t="s">
        <v>157</v>
      </c>
    </row>
    <row r="22" spans="1:25">
      <c r="A22" t="s">
        <v>192</v>
      </c>
      <c r="B22" s="113">
        <v>43504</v>
      </c>
      <c r="C22" t="s">
        <v>162</v>
      </c>
      <c r="D22" t="s">
        <v>193</v>
      </c>
      <c r="E22">
        <v>26</v>
      </c>
      <c r="F22">
        <v>614</v>
      </c>
      <c r="G22" t="s">
        <v>176</v>
      </c>
      <c r="H22">
        <v>31795.44384</v>
      </c>
      <c r="J22" t="s">
        <v>148</v>
      </c>
      <c r="K22" t="s">
        <v>148</v>
      </c>
      <c r="L22">
        <v>12.1</v>
      </c>
      <c r="M22" t="s">
        <v>149</v>
      </c>
      <c r="N22">
        <v>5</v>
      </c>
      <c r="O22">
        <v>2.2999999999999998</v>
      </c>
      <c r="P22">
        <v>2</v>
      </c>
      <c r="Q22">
        <v>1500</v>
      </c>
      <c r="R22">
        <v>5.8374143000000003E-2</v>
      </c>
      <c r="S22" t="s">
        <v>150</v>
      </c>
      <c r="T22">
        <v>12</v>
      </c>
      <c r="U22">
        <v>1</v>
      </c>
      <c r="V22">
        <v>12</v>
      </c>
      <c r="W22">
        <v>0</v>
      </c>
      <c r="X22" t="s">
        <v>149</v>
      </c>
      <c r="Y22" t="s">
        <v>157</v>
      </c>
    </row>
    <row r="23" spans="1:25">
      <c r="A23" t="s">
        <v>194</v>
      </c>
      <c r="B23" s="113">
        <v>43505</v>
      </c>
      <c r="C23" t="s">
        <v>162</v>
      </c>
      <c r="D23" t="s">
        <v>195</v>
      </c>
      <c r="E23">
        <v>40</v>
      </c>
      <c r="F23">
        <v>661</v>
      </c>
      <c r="G23" t="s">
        <v>155</v>
      </c>
      <c r="H23">
        <v>60245.845780000003</v>
      </c>
      <c r="J23" t="s">
        <v>148</v>
      </c>
      <c r="K23" t="s">
        <v>148</v>
      </c>
      <c r="L23">
        <v>2.9</v>
      </c>
      <c r="M23" t="s">
        <v>149</v>
      </c>
      <c r="N23">
        <v>4</v>
      </c>
      <c r="O23">
        <v>2.1</v>
      </c>
      <c r="P23">
        <v>3</v>
      </c>
      <c r="Q23">
        <v>800</v>
      </c>
      <c r="R23">
        <v>0.21667507999999999</v>
      </c>
      <c r="S23" t="s">
        <v>150</v>
      </c>
      <c r="T23">
        <v>17</v>
      </c>
      <c r="U23">
        <v>0</v>
      </c>
      <c r="V23">
        <v>17</v>
      </c>
      <c r="W23">
        <v>0</v>
      </c>
      <c r="X23" t="s">
        <v>151</v>
      </c>
      <c r="Y23" t="s">
        <v>152</v>
      </c>
    </row>
    <row r="24" spans="1:25">
      <c r="A24" t="s">
        <v>196</v>
      </c>
      <c r="B24" s="113">
        <v>43507</v>
      </c>
      <c r="C24" t="s">
        <v>159</v>
      </c>
      <c r="D24" t="s">
        <v>197</v>
      </c>
      <c r="E24">
        <v>30</v>
      </c>
      <c r="F24">
        <v>552</v>
      </c>
      <c r="G24" t="s">
        <v>147</v>
      </c>
      <c r="H24">
        <v>30808.475539999999</v>
      </c>
      <c r="I24">
        <v>30808.475539999999</v>
      </c>
      <c r="J24" t="s">
        <v>148</v>
      </c>
      <c r="K24" t="s">
        <v>166</v>
      </c>
      <c r="L24">
        <v>6.2</v>
      </c>
      <c r="M24" t="s">
        <v>149</v>
      </c>
      <c r="N24">
        <v>3</v>
      </c>
      <c r="O24">
        <v>5.3</v>
      </c>
      <c r="P24">
        <v>4</v>
      </c>
      <c r="Q24">
        <v>1150</v>
      </c>
      <c r="R24">
        <v>0.36944095900000001</v>
      </c>
      <c r="S24" t="s">
        <v>198</v>
      </c>
      <c r="Y24" t="s">
        <v>199</v>
      </c>
    </row>
    <row r="25" spans="1:25">
      <c r="A25" t="s">
        <v>200</v>
      </c>
      <c r="B25" s="113">
        <v>43513</v>
      </c>
      <c r="C25" t="s">
        <v>162</v>
      </c>
      <c r="D25" t="s">
        <v>190</v>
      </c>
      <c r="E25">
        <v>47</v>
      </c>
      <c r="F25">
        <v>814</v>
      </c>
      <c r="G25" t="s">
        <v>169</v>
      </c>
      <c r="H25">
        <v>57751.294759999997</v>
      </c>
      <c r="I25">
        <v>57751.294759999997</v>
      </c>
      <c r="J25" t="s">
        <v>148</v>
      </c>
      <c r="K25" t="s">
        <v>148</v>
      </c>
      <c r="L25">
        <v>1.1000000000000001</v>
      </c>
      <c r="M25" t="s">
        <v>149</v>
      </c>
      <c r="N25">
        <v>2</v>
      </c>
      <c r="O25">
        <v>1</v>
      </c>
      <c r="P25">
        <v>3</v>
      </c>
      <c r="Q25">
        <v>900</v>
      </c>
      <c r="R25">
        <v>0.51276930700000001</v>
      </c>
      <c r="S25" t="s">
        <v>150</v>
      </c>
      <c r="T25">
        <v>23</v>
      </c>
      <c r="U25">
        <v>1</v>
      </c>
      <c r="V25">
        <v>23</v>
      </c>
      <c r="W25">
        <v>0</v>
      </c>
      <c r="X25" t="s">
        <v>149</v>
      </c>
      <c r="Y25" t="s">
        <v>157</v>
      </c>
    </row>
    <row r="26" spans="1:25">
      <c r="A26" t="s">
        <v>201</v>
      </c>
      <c r="B26" s="113">
        <v>43516</v>
      </c>
      <c r="C26" t="s">
        <v>162</v>
      </c>
      <c r="D26" t="s">
        <v>179</v>
      </c>
      <c r="E26">
        <v>63</v>
      </c>
      <c r="F26">
        <v>706</v>
      </c>
      <c r="G26" t="s">
        <v>147</v>
      </c>
      <c r="H26">
        <v>61272.835129999999</v>
      </c>
      <c r="I26">
        <v>61272.835129999999</v>
      </c>
      <c r="J26" t="s">
        <v>156</v>
      </c>
      <c r="K26" t="s">
        <v>156</v>
      </c>
      <c r="L26">
        <v>1.7</v>
      </c>
      <c r="M26" t="s">
        <v>149</v>
      </c>
      <c r="N26">
        <v>5</v>
      </c>
      <c r="O26">
        <v>1.6</v>
      </c>
      <c r="P26">
        <v>2</v>
      </c>
      <c r="Q26">
        <v>1450</v>
      </c>
      <c r="R26">
        <v>0.64299874199999996</v>
      </c>
      <c r="S26" t="s">
        <v>150</v>
      </c>
      <c r="T26">
        <v>16</v>
      </c>
      <c r="U26">
        <v>0</v>
      </c>
      <c r="V26">
        <v>16</v>
      </c>
      <c r="W26">
        <v>0</v>
      </c>
      <c r="X26" t="s">
        <v>151</v>
      </c>
      <c r="Y26" t="s">
        <v>152</v>
      </c>
    </row>
    <row r="27" spans="1:25">
      <c r="A27" t="s">
        <v>202</v>
      </c>
      <c r="B27" s="113">
        <v>43517</v>
      </c>
      <c r="C27" t="s">
        <v>145</v>
      </c>
      <c r="D27" t="s">
        <v>146</v>
      </c>
      <c r="E27">
        <v>42</v>
      </c>
      <c r="F27">
        <v>587</v>
      </c>
      <c r="G27" t="s">
        <v>169</v>
      </c>
      <c r="H27">
        <v>111863.28049999999</v>
      </c>
      <c r="I27">
        <v>111863.28049999999</v>
      </c>
      <c r="J27" t="s">
        <v>148</v>
      </c>
      <c r="K27" t="s">
        <v>148</v>
      </c>
      <c r="L27">
        <v>9</v>
      </c>
      <c r="M27" t="s">
        <v>149</v>
      </c>
      <c r="N27">
        <v>3</v>
      </c>
      <c r="O27">
        <v>3.5</v>
      </c>
      <c r="P27">
        <v>2</v>
      </c>
      <c r="Q27">
        <v>1950</v>
      </c>
      <c r="R27">
        <v>0.75680249499999996</v>
      </c>
      <c r="S27" t="s">
        <v>150</v>
      </c>
      <c r="T27">
        <v>13</v>
      </c>
      <c r="U27">
        <v>0</v>
      </c>
      <c r="V27">
        <v>13</v>
      </c>
      <c r="W27">
        <v>0</v>
      </c>
      <c r="X27" t="s">
        <v>151</v>
      </c>
      <c r="Y27" t="s">
        <v>152</v>
      </c>
    </row>
    <row r="28" spans="1:25">
      <c r="A28" t="s">
        <v>203</v>
      </c>
      <c r="B28" s="113">
        <v>43522</v>
      </c>
      <c r="C28" t="s">
        <v>162</v>
      </c>
      <c r="D28" t="s">
        <v>190</v>
      </c>
      <c r="E28">
        <v>55</v>
      </c>
      <c r="F28">
        <v>827</v>
      </c>
      <c r="G28" t="s">
        <v>176</v>
      </c>
      <c r="H28">
        <v>23661.336800000001</v>
      </c>
      <c r="J28" t="s">
        <v>148</v>
      </c>
      <c r="K28" t="s">
        <v>148</v>
      </c>
      <c r="L28">
        <v>2.9</v>
      </c>
      <c r="M28" t="s">
        <v>149</v>
      </c>
      <c r="N28">
        <v>1</v>
      </c>
      <c r="O28">
        <v>19.8</v>
      </c>
      <c r="P28">
        <v>3</v>
      </c>
      <c r="Q28">
        <v>1700</v>
      </c>
      <c r="R28">
        <v>0.85127340100000004</v>
      </c>
      <c r="S28" t="s">
        <v>150</v>
      </c>
      <c r="T28">
        <v>22</v>
      </c>
      <c r="U28">
        <v>1</v>
      </c>
      <c r="V28">
        <v>22</v>
      </c>
      <c r="W28">
        <v>0</v>
      </c>
      <c r="X28" t="s">
        <v>149</v>
      </c>
      <c r="Y28" t="s">
        <v>157</v>
      </c>
    </row>
    <row r="29" spans="1:25">
      <c r="A29" t="s">
        <v>204</v>
      </c>
      <c r="B29" s="113">
        <v>43523</v>
      </c>
      <c r="C29" t="s">
        <v>159</v>
      </c>
      <c r="D29" t="s">
        <v>160</v>
      </c>
      <c r="E29">
        <v>36</v>
      </c>
      <c r="F29">
        <v>756</v>
      </c>
      <c r="G29" t="s">
        <v>155</v>
      </c>
      <c r="H29">
        <v>23223.511890000002</v>
      </c>
      <c r="I29">
        <v>23223.511890000002</v>
      </c>
      <c r="J29" t="s">
        <v>148</v>
      </c>
      <c r="K29" t="s">
        <v>148</v>
      </c>
      <c r="L29">
        <v>1.6</v>
      </c>
      <c r="M29" t="s">
        <v>149</v>
      </c>
      <c r="N29">
        <v>2</v>
      </c>
      <c r="O29">
        <v>9</v>
      </c>
      <c r="P29">
        <v>3</v>
      </c>
      <c r="Q29">
        <v>1750</v>
      </c>
      <c r="R29">
        <v>0.92399815900000004</v>
      </c>
      <c r="S29" t="s">
        <v>198</v>
      </c>
      <c r="Y29" t="s">
        <v>199</v>
      </c>
    </row>
    <row r="30" spans="1:25">
      <c r="A30" t="s">
        <v>205</v>
      </c>
      <c r="B30" s="113">
        <v>43523</v>
      </c>
      <c r="C30" t="s">
        <v>162</v>
      </c>
      <c r="D30" t="s">
        <v>179</v>
      </c>
      <c r="E30">
        <v>35</v>
      </c>
      <c r="F30">
        <v>755</v>
      </c>
      <c r="G30" t="s">
        <v>147</v>
      </c>
      <c r="H30">
        <v>94456.497059999994</v>
      </c>
      <c r="J30" t="s">
        <v>156</v>
      </c>
      <c r="K30" t="s">
        <v>156</v>
      </c>
      <c r="L30">
        <v>2.4</v>
      </c>
      <c r="M30" t="s">
        <v>149</v>
      </c>
      <c r="N30">
        <v>4</v>
      </c>
      <c r="O30">
        <v>3.2</v>
      </c>
      <c r="P30">
        <v>2</v>
      </c>
      <c r="Q30">
        <v>800</v>
      </c>
      <c r="R30">
        <v>0.97311898299999999</v>
      </c>
      <c r="S30" t="s">
        <v>150</v>
      </c>
      <c r="T30">
        <v>20</v>
      </c>
      <c r="U30">
        <v>1</v>
      </c>
      <c r="V30">
        <v>20</v>
      </c>
      <c r="W30">
        <v>0</v>
      </c>
      <c r="X30" t="s">
        <v>149</v>
      </c>
      <c r="Y30" t="s">
        <v>157</v>
      </c>
    </row>
    <row r="31" spans="1:25">
      <c r="A31" t="s">
        <v>206</v>
      </c>
      <c r="B31" s="113">
        <v>43526</v>
      </c>
      <c r="C31" t="s">
        <v>162</v>
      </c>
      <c r="D31" t="s">
        <v>190</v>
      </c>
      <c r="E31">
        <v>36</v>
      </c>
      <c r="F31">
        <v>687</v>
      </c>
      <c r="G31" t="s">
        <v>176</v>
      </c>
      <c r="H31">
        <v>78054.675650000005</v>
      </c>
      <c r="I31">
        <v>78054.675650000005</v>
      </c>
      <c r="J31" t="s">
        <v>170</v>
      </c>
      <c r="K31" t="s">
        <v>170</v>
      </c>
      <c r="L31">
        <v>2.1</v>
      </c>
      <c r="M31" t="s">
        <v>151</v>
      </c>
      <c r="N31">
        <v>2</v>
      </c>
      <c r="O31">
        <v>3.9</v>
      </c>
      <c r="P31">
        <v>3</v>
      </c>
      <c r="Q31">
        <v>850</v>
      </c>
      <c r="R31">
        <v>0.99738106199999998</v>
      </c>
      <c r="S31" t="s">
        <v>150</v>
      </c>
      <c r="T31">
        <v>14</v>
      </c>
      <c r="U31">
        <v>0</v>
      </c>
      <c r="V31">
        <v>14</v>
      </c>
      <c r="W31">
        <v>0</v>
      </c>
      <c r="X31" t="s">
        <v>149</v>
      </c>
      <c r="Y31" t="s">
        <v>157</v>
      </c>
    </row>
    <row r="32" spans="1:25">
      <c r="A32" t="s">
        <v>207</v>
      </c>
      <c r="B32" s="113">
        <v>43526</v>
      </c>
      <c r="C32" t="s">
        <v>159</v>
      </c>
      <c r="D32" t="s">
        <v>165</v>
      </c>
      <c r="E32">
        <v>36</v>
      </c>
      <c r="F32">
        <v>758</v>
      </c>
      <c r="G32" t="s">
        <v>147</v>
      </c>
      <c r="H32">
        <v>21016.320660000001</v>
      </c>
      <c r="I32">
        <v>21016.320660000001</v>
      </c>
      <c r="J32" t="s">
        <v>170</v>
      </c>
      <c r="K32" t="s">
        <v>170</v>
      </c>
      <c r="L32">
        <v>0.3</v>
      </c>
      <c r="M32" t="s">
        <v>149</v>
      </c>
      <c r="N32">
        <v>2</v>
      </c>
      <c r="O32">
        <v>0.1</v>
      </c>
      <c r="P32">
        <v>1</v>
      </c>
      <c r="Q32">
        <v>1900</v>
      </c>
      <c r="R32">
        <v>0.99616460900000003</v>
      </c>
      <c r="S32" t="s">
        <v>198</v>
      </c>
      <c r="Y32" t="s">
        <v>199</v>
      </c>
    </row>
    <row r="33" spans="1:25">
      <c r="A33" t="s">
        <v>208</v>
      </c>
      <c r="B33" s="113">
        <v>43528</v>
      </c>
      <c r="C33" t="s">
        <v>159</v>
      </c>
      <c r="D33" t="s">
        <v>209</v>
      </c>
      <c r="E33">
        <v>42</v>
      </c>
      <c r="F33">
        <v>783</v>
      </c>
      <c r="G33" t="s">
        <v>147</v>
      </c>
      <c r="H33">
        <v>44640.36737</v>
      </c>
      <c r="I33">
        <v>44640.36737</v>
      </c>
      <c r="J33" t="s">
        <v>183</v>
      </c>
      <c r="K33" t="s">
        <v>183</v>
      </c>
      <c r="L33">
        <v>2.6</v>
      </c>
      <c r="M33" t="s">
        <v>149</v>
      </c>
      <c r="N33">
        <v>3</v>
      </c>
      <c r="O33">
        <v>0.4</v>
      </c>
      <c r="P33">
        <v>3</v>
      </c>
      <c r="Q33">
        <v>950</v>
      </c>
      <c r="R33">
        <v>0.96950069900000002</v>
      </c>
      <c r="S33" t="s">
        <v>150</v>
      </c>
      <c r="T33">
        <v>20</v>
      </c>
      <c r="U33">
        <v>1</v>
      </c>
      <c r="V33">
        <v>20</v>
      </c>
      <c r="W33">
        <v>0</v>
      </c>
      <c r="X33" t="s">
        <v>149</v>
      </c>
      <c r="Y33" t="s">
        <v>157</v>
      </c>
    </row>
    <row r="34" spans="1:25">
      <c r="A34" t="s">
        <v>210</v>
      </c>
      <c r="B34" s="113">
        <v>43530</v>
      </c>
      <c r="C34" t="s">
        <v>162</v>
      </c>
      <c r="D34" t="s">
        <v>190</v>
      </c>
      <c r="E34">
        <v>37</v>
      </c>
      <c r="F34">
        <v>812</v>
      </c>
      <c r="G34" t="s">
        <v>169</v>
      </c>
      <c r="H34">
        <v>93502.655350000001</v>
      </c>
      <c r="I34">
        <v>93502.655350000001</v>
      </c>
      <c r="J34" t="s">
        <v>183</v>
      </c>
      <c r="K34" t="s">
        <v>183</v>
      </c>
      <c r="L34">
        <v>2.9</v>
      </c>
      <c r="M34" t="s">
        <v>149</v>
      </c>
      <c r="N34">
        <v>3</v>
      </c>
      <c r="O34">
        <v>0.7</v>
      </c>
      <c r="P34">
        <v>3</v>
      </c>
      <c r="Q34">
        <v>1900</v>
      </c>
      <c r="R34">
        <v>0.91807047500000005</v>
      </c>
      <c r="S34" t="s">
        <v>150</v>
      </c>
      <c r="T34">
        <v>18</v>
      </c>
      <c r="U34">
        <v>2</v>
      </c>
      <c r="V34">
        <v>18</v>
      </c>
      <c r="W34">
        <v>0</v>
      </c>
      <c r="X34" t="s">
        <v>149</v>
      </c>
      <c r="Y34" t="s">
        <v>157</v>
      </c>
    </row>
    <row r="35" spans="1:25">
      <c r="A35" t="s">
        <v>211</v>
      </c>
      <c r="B35" s="113">
        <v>43536</v>
      </c>
      <c r="C35" t="s">
        <v>162</v>
      </c>
      <c r="D35" t="s">
        <v>187</v>
      </c>
      <c r="E35">
        <v>38</v>
      </c>
      <c r="F35">
        <v>738</v>
      </c>
      <c r="G35" t="s">
        <v>147</v>
      </c>
      <c r="H35">
        <v>38369.984980000001</v>
      </c>
      <c r="I35">
        <v>38369.984980000001</v>
      </c>
      <c r="J35" t="s">
        <v>148</v>
      </c>
      <c r="K35" t="s">
        <v>148</v>
      </c>
      <c r="L35">
        <v>6.9</v>
      </c>
      <c r="M35" t="s">
        <v>149</v>
      </c>
      <c r="N35">
        <v>2</v>
      </c>
      <c r="O35">
        <v>4</v>
      </c>
      <c r="P35">
        <v>2</v>
      </c>
      <c r="Q35">
        <v>800</v>
      </c>
      <c r="R35">
        <v>0.84318774200000002</v>
      </c>
      <c r="S35" t="s">
        <v>150</v>
      </c>
      <c r="T35">
        <v>20</v>
      </c>
      <c r="U35">
        <v>0</v>
      </c>
      <c r="V35">
        <v>20</v>
      </c>
      <c r="W35">
        <v>0</v>
      </c>
      <c r="X35" t="s">
        <v>149</v>
      </c>
      <c r="Y35" t="s">
        <v>157</v>
      </c>
    </row>
    <row r="36" spans="1:25">
      <c r="A36" t="s">
        <v>212</v>
      </c>
      <c r="B36" s="113">
        <v>43542</v>
      </c>
      <c r="C36" t="s">
        <v>145</v>
      </c>
      <c r="D36" t="s">
        <v>213</v>
      </c>
      <c r="E36">
        <v>41</v>
      </c>
      <c r="F36">
        <v>645</v>
      </c>
      <c r="G36" t="s">
        <v>147</v>
      </c>
      <c r="H36">
        <v>60931.75432</v>
      </c>
      <c r="I36">
        <v>60931.75432</v>
      </c>
      <c r="J36" t="s">
        <v>148</v>
      </c>
      <c r="K36" t="s">
        <v>148</v>
      </c>
      <c r="L36">
        <v>0.5</v>
      </c>
      <c r="M36" t="s">
        <v>149</v>
      </c>
      <c r="N36">
        <v>1</v>
      </c>
      <c r="O36">
        <v>8.1</v>
      </c>
      <c r="P36">
        <v>2</v>
      </c>
      <c r="Q36">
        <v>1400</v>
      </c>
      <c r="R36">
        <v>0.74676541299999999</v>
      </c>
      <c r="S36" t="s">
        <v>198</v>
      </c>
      <c r="Y36" t="s">
        <v>199</v>
      </c>
    </row>
    <row r="37" spans="1:25">
      <c r="A37" t="s">
        <v>214</v>
      </c>
      <c r="B37" s="113">
        <v>43545</v>
      </c>
      <c r="C37" t="s">
        <v>159</v>
      </c>
      <c r="D37" t="s">
        <v>165</v>
      </c>
      <c r="E37">
        <v>27</v>
      </c>
      <c r="F37">
        <v>780</v>
      </c>
      <c r="G37" t="s">
        <v>176</v>
      </c>
      <c r="H37">
        <v>33922.739730000001</v>
      </c>
      <c r="I37">
        <v>33922.739730000001</v>
      </c>
      <c r="J37" t="s">
        <v>156</v>
      </c>
      <c r="K37" t="s">
        <v>156</v>
      </c>
      <c r="L37">
        <v>5.6</v>
      </c>
      <c r="M37" t="s">
        <v>149</v>
      </c>
      <c r="N37">
        <v>4</v>
      </c>
      <c r="O37">
        <v>1.1000000000000001</v>
      </c>
      <c r="P37">
        <v>3</v>
      </c>
      <c r="Q37">
        <v>800</v>
      </c>
      <c r="R37">
        <v>0.63126663800000005</v>
      </c>
      <c r="S37" t="s">
        <v>150</v>
      </c>
      <c r="T37">
        <v>21</v>
      </c>
      <c r="U37">
        <v>1</v>
      </c>
      <c r="V37">
        <v>21</v>
      </c>
      <c r="W37">
        <v>0</v>
      </c>
      <c r="X37" t="s">
        <v>149</v>
      </c>
      <c r="Y37" t="s">
        <v>157</v>
      </c>
    </row>
    <row r="38" spans="1:25">
      <c r="A38" t="s">
        <v>215</v>
      </c>
      <c r="B38" s="113">
        <v>43545</v>
      </c>
      <c r="C38" t="s">
        <v>159</v>
      </c>
      <c r="D38" t="s">
        <v>197</v>
      </c>
      <c r="E38">
        <v>42</v>
      </c>
      <c r="F38">
        <v>754</v>
      </c>
      <c r="G38" t="s">
        <v>169</v>
      </c>
      <c r="H38">
        <v>21569.821260000001</v>
      </c>
      <c r="I38">
        <v>21569.821260000001</v>
      </c>
      <c r="J38" t="s">
        <v>148</v>
      </c>
      <c r="K38" t="s">
        <v>148</v>
      </c>
      <c r="L38">
        <v>0.6</v>
      </c>
      <c r="M38" t="s">
        <v>149</v>
      </c>
      <c r="N38">
        <v>1</v>
      </c>
      <c r="O38">
        <v>5.0999999999999996</v>
      </c>
      <c r="P38">
        <v>3</v>
      </c>
      <c r="Q38">
        <v>1000</v>
      </c>
      <c r="R38">
        <v>0.49964188300000001</v>
      </c>
      <c r="S38" t="s">
        <v>150</v>
      </c>
      <c r="T38">
        <v>21</v>
      </c>
      <c r="U38">
        <v>0</v>
      </c>
      <c r="V38">
        <v>21</v>
      </c>
      <c r="W38">
        <v>0</v>
      </c>
      <c r="X38" t="s">
        <v>151</v>
      </c>
      <c r="Y38" t="s">
        <v>152</v>
      </c>
    </row>
    <row r="39" spans="1:25">
      <c r="A39" t="s">
        <v>216</v>
      </c>
      <c r="B39" s="113">
        <v>43546</v>
      </c>
      <c r="C39" t="s">
        <v>159</v>
      </c>
      <c r="D39" t="s">
        <v>160</v>
      </c>
      <c r="E39">
        <v>58</v>
      </c>
      <c r="F39">
        <v>728</v>
      </c>
      <c r="G39" t="s">
        <v>169</v>
      </c>
      <c r="H39">
        <v>50009.273529999999</v>
      </c>
      <c r="I39">
        <v>50009.273529999999</v>
      </c>
      <c r="J39" t="s">
        <v>148</v>
      </c>
      <c r="K39" t="s">
        <v>148</v>
      </c>
      <c r="L39">
        <v>1.4</v>
      </c>
      <c r="M39" t="s">
        <v>149</v>
      </c>
      <c r="N39">
        <v>1</v>
      </c>
      <c r="O39">
        <v>0.6</v>
      </c>
      <c r="P39">
        <v>3</v>
      </c>
      <c r="Q39">
        <v>1450</v>
      </c>
      <c r="R39">
        <v>0.35525356000000002</v>
      </c>
      <c r="S39" t="s">
        <v>150</v>
      </c>
      <c r="T39">
        <v>23</v>
      </c>
      <c r="U39">
        <v>1</v>
      </c>
      <c r="V39">
        <v>23</v>
      </c>
      <c r="W39">
        <v>0</v>
      </c>
      <c r="X39" t="s">
        <v>151</v>
      </c>
      <c r="Y39" t="s">
        <v>152</v>
      </c>
    </row>
    <row r="40" spans="1:25">
      <c r="A40" t="s">
        <v>217</v>
      </c>
      <c r="B40" s="113">
        <v>43549</v>
      </c>
      <c r="C40" t="s">
        <v>162</v>
      </c>
      <c r="D40" t="s">
        <v>163</v>
      </c>
      <c r="E40">
        <v>34</v>
      </c>
      <c r="F40">
        <v>540</v>
      </c>
      <c r="G40" t="s">
        <v>176</v>
      </c>
      <c r="H40">
        <v>22284.202580000001</v>
      </c>
      <c r="I40">
        <v>22284.202580000001</v>
      </c>
      <c r="J40" t="s">
        <v>148</v>
      </c>
      <c r="K40" t="s">
        <v>148</v>
      </c>
      <c r="L40">
        <v>10.199999999999999</v>
      </c>
      <c r="M40" t="s">
        <v>149</v>
      </c>
      <c r="N40">
        <v>1</v>
      </c>
      <c r="O40">
        <v>4.2</v>
      </c>
      <c r="P40">
        <v>3</v>
      </c>
      <c r="Q40">
        <v>1400</v>
      </c>
      <c r="R40">
        <v>0.20179013100000001</v>
      </c>
      <c r="S40" t="s">
        <v>198</v>
      </c>
      <c r="Y40" t="s">
        <v>199</v>
      </c>
    </row>
    <row r="41" spans="1:25">
      <c r="A41" t="s">
        <v>218</v>
      </c>
      <c r="B41" s="113">
        <v>43550</v>
      </c>
      <c r="C41" t="s">
        <v>159</v>
      </c>
      <c r="D41" t="s">
        <v>197</v>
      </c>
      <c r="E41">
        <v>32</v>
      </c>
      <c r="F41">
        <v>627</v>
      </c>
      <c r="G41" t="s">
        <v>169</v>
      </c>
      <c r="H41">
        <v>39479.631200000003</v>
      </c>
      <c r="I41">
        <v>39479.631200000003</v>
      </c>
      <c r="J41" t="s">
        <v>148</v>
      </c>
      <c r="K41" t="s">
        <v>148</v>
      </c>
      <c r="L41">
        <v>0.5</v>
      </c>
      <c r="M41" t="s">
        <v>149</v>
      </c>
      <c r="N41">
        <v>2</v>
      </c>
      <c r="O41">
        <v>9.1999999999999993</v>
      </c>
      <c r="P41">
        <v>3</v>
      </c>
      <c r="Q41">
        <v>1050</v>
      </c>
      <c r="R41">
        <v>4.3171885E-2</v>
      </c>
      <c r="S41" t="s">
        <v>150</v>
      </c>
      <c r="T41">
        <v>12</v>
      </c>
      <c r="U41">
        <v>1</v>
      </c>
      <c r="V41">
        <v>12</v>
      </c>
      <c r="W41">
        <v>0</v>
      </c>
      <c r="X41" t="s">
        <v>149</v>
      </c>
      <c r="Y41" t="s">
        <v>157</v>
      </c>
    </row>
    <row r="42" spans="1:25">
      <c r="A42" t="s">
        <v>219</v>
      </c>
      <c r="B42" s="113">
        <v>43551</v>
      </c>
      <c r="C42" t="s">
        <v>145</v>
      </c>
      <c r="D42" t="s">
        <v>172</v>
      </c>
      <c r="E42">
        <v>30</v>
      </c>
      <c r="F42">
        <v>775</v>
      </c>
      <c r="G42" t="s">
        <v>155</v>
      </c>
      <c r="H42">
        <v>28227.594120000002</v>
      </c>
      <c r="I42">
        <v>28227.594120000002</v>
      </c>
      <c r="J42" t="s">
        <v>183</v>
      </c>
      <c r="K42" t="s">
        <v>166</v>
      </c>
      <c r="L42">
        <v>0.7</v>
      </c>
      <c r="M42" t="s">
        <v>149</v>
      </c>
      <c r="N42">
        <v>1</v>
      </c>
      <c r="O42">
        <v>0.3</v>
      </c>
      <c r="P42">
        <v>3</v>
      </c>
      <c r="Q42">
        <v>1250</v>
      </c>
      <c r="R42">
        <v>0.116549205</v>
      </c>
      <c r="S42" t="s">
        <v>198</v>
      </c>
      <c r="Y42" t="s">
        <v>199</v>
      </c>
    </row>
    <row r="43" spans="1:25">
      <c r="A43" t="s">
        <v>220</v>
      </c>
      <c r="B43" s="113">
        <v>43552</v>
      </c>
      <c r="C43" t="s">
        <v>159</v>
      </c>
      <c r="D43" t="s">
        <v>165</v>
      </c>
      <c r="E43">
        <v>47</v>
      </c>
      <c r="F43">
        <v>515</v>
      </c>
      <c r="G43" t="s">
        <v>176</v>
      </c>
      <c r="H43">
        <v>47309.400589999997</v>
      </c>
      <c r="I43">
        <v>47309.400589999997</v>
      </c>
      <c r="J43" t="s">
        <v>221</v>
      </c>
      <c r="K43" t="s">
        <v>166</v>
      </c>
      <c r="L43">
        <v>3.1</v>
      </c>
      <c r="M43" t="s">
        <v>149</v>
      </c>
      <c r="N43">
        <v>2</v>
      </c>
      <c r="O43">
        <v>6</v>
      </c>
      <c r="P43">
        <v>3</v>
      </c>
      <c r="Q43">
        <v>1950</v>
      </c>
      <c r="R43">
        <v>0.27329299499999998</v>
      </c>
      <c r="S43" t="s">
        <v>150</v>
      </c>
      <c r="T43">
        <v>13</v>
      </c>
      <c r="U43">
        <v>0</v>
      </c>
      <c r="V43">
        <v>13</v>
      </c>
      <c r="W43">
        <v>0</v>
      </c>
      <c r="X43" t="s">
        <v>149</v>
      </c>
      <c r="Y43" t="s">
        <v>157</v>
      </c>
    </row>
    <row r="44" spans="1:25">
      <c r="A44" t="s">
        <v>222</v>
      </c>
      <c r="B44" s="113">
        <v>43553</v>
      </c>
      <c r="C44" t="s">
        <v>162</v>
      </c>
      <c r="D44" t="s">
        <v>193</v>
      </c>
      <c r="E44">
        <v>51</v>
      </c>
      <c r="F44">
        <v>698</v>
      </c>
      <c r="G44" t="s">
        <v>176</v>
      </c>
      <c r="H44">
        <v>33480.655980000003</v>
      </c>
      <c r="I44">
        <v>33480.655980000003</v>
      </c>
      <c r="J44" t="s">
        <v>148</v>
      </c>
      <c r="K44" t="s">
        <v>148</v>
      </c>
      <c r="L44">
        <v>2</v>
      </c>
      <c r="M44" t="s">
        <v>151</v>
      </c>
      <c r="N44">
        <v>0</v>
      </c>
      <c r="O44">
        <v>5.7</v>
      </c>
      <c r="P44">
        <v>3</v>
      </c>
      <c r="Q44">
        <v>800</v>
      </c>
      <c r="R44">
        <v>0.423055397</v>
      </c>
      <c r="S44" t="s">
        <v>198</v>
      </c>
      <c r="Y44" t="s">
        <v>199</v>
      </c>
    </row>
    <row r="45" spans="1:25">
      <c r="A45" t="s">
        <v>223</v>
      </c>
      <c r="B45" s="113">
        <v>43555</v>
      </c>
      <c r="C45" t="s">
        <v>145</v>
      </c>
      <c r="D45" t="s">
        <v>213</v>
      </c>
      <c r="E45">
        <v>48</v>
      </c>
      <c r="F45">
        <v>770</v>
      </c>
      <c r="G45" t="s">
        <v>176</v>
      </c>
      <c r="H45">
        <v>84220.704920000004</v>
      </c>
      <c r="I45">
        <v>84220.704920000004</v>
      </c>
      <c r="J45" t="s">
        <v>148</v>
      </c>
      <c r="K45" t="s">
        <v>148</v>
      </c>
      <c r="L45">
        <v>2.6</v>
      </c>
      <c r="M45" t="s">
        <v>151</v>
      </c>
      <c r="N45">
        <v>3</v>
      </c>
      <c r="O45">
        <v>12.3</v>
      </c>
      <c r="P45">
        <v>4</v>
      </c>
      <c r="Q45">
        <v>1650</v>
      </c>
      <c r="R45">
        <v>0.56201066600000005</v>
      </c>
      <c r="S45" t="s">
        <v>150</v>
      </c>
      <c r="T45">
        <v>15</v>
      </c>
      <c r="U45">
        <v>0</v>
      </c>
      <c r="V45">
        <v>15</v>
      </c>
      <c r="W45">
        <v>0</v>
      </c>
      <c r="X45" t="s">
        <v>149</v>
      </c>
      <c r="Y45" t="s">
        <v>157</v>
      </c>
    </row>
    <row r="46" spans="1:25">
      <c r="A46" t="s">
        <v>224</v>
      </c>
      <c r="B46" s="113">
        <v>43562</v>
      </c>
      <c r="C46" t="s">
        <v>145</v>
      </c>
      <c r="D46" t="s">
        <v>213</v>
      </c>
      <c r="E46">
        <v>63</v>
      </c>
      <c r="F46">
        <v>686</v>
      </c>
      <c r="G46" t="s">
        <v>155</v>
      </c>
      <c r="H46">
        <v>44382.086179999998</v>
      </c>
      <c r="I46">
        <v>44382.086179999998</v>
      </c>
      <c r="J46" t="s">
        <v>183</v>
      </c>
      <c r="K46" t="s">
        <v>183</v>
      </c>
      <c r="L46">
        <v>4</v>
      </c>
      <c r="M46" t="s">
        <v>149</v>
      </c>
      <c r="N46">
        <v>5</v>
      </c>
      <c r="O46">
        <v>2.2000000000000002</v>
      </c>
      <c r="P46">
        <v>1</v>
      </c>
      <c r="Q46">
        <v>1550</v>
      </c>
      <c r="R46">
        <v>0.68660912900000004</v>
      </c>
      <c r="S46" t="s">
        <v>150</v>
      </c>
      <c r="T46">
        <v>12</v>
      </c>
      <c r="U46">
        <v>0</v>
      </c>
      <c r="V46">
        <v>12</v>
      </c>
      <c r="W46">
        <v>0</v>
      </c>
      <c r="X46" t="s">
        <v>149</v>
      </c>
      <c r="Y46" t="s">
        <v>157</v>
      </c>
    </row>
    <row r="47" spans="1:25">
      <c r="A47" t="s">
        <v>225</v>
      </c>
      <c r="B47" s="113">
        <v>43566</v>
      </c>
      <c r="C47" t="s">
        <v>162</v>
      </c>
      <c r="D47" t="s">
        <v>187</v>
      </c>
      <c r="E47">
        <v>62</v>
      </c>
      <c r="F47">
        <v>548</v>
      </c>
      <c r="G47" t="s">
        <v>169</v>
      </c>
      <c r="H47">
        <v>68734.14026</v>
      </c>
      <c r="I47">
        <v>68734.14026</v>
      </c>
      <c r="J47" t="s">
        <v>148</v>
      </c>
      <c r="K47" t="s">
        <v>148</v>
      </c>
      <c r="L47">
        <v>4.0999999999999996</v>
      </c>
      <c r="M47" t="s">
        <v>149</v>
      </c>
      <c r="N47">
        <v>3</v>
      </c>
      <c r="O47">
        <v>4.9000000000000004</v>
      </c>
      <c r="P47">
        <v>3</v>
      </c>
      <c r="Q47">
        <v>1250</v>
      </c>
      <c r="R47">
        <v>0.793667864</v>
      </c>
      <c r="S47" t="s">
        <v>150</v>
      </c>
      <c r="T47">
        <v>22</v>
      </c>
      <c r="U47">
        <v>0</v>
      </c>
      <c r="V47">
        <v>22</v>
      </c>
      <c r="W47">
        <v>0</v>
      </c>
      <c r="X47" t="s">
        <v>151</v>
      </c>
      <c r="Y47" t="s">
        <v>152</v>
      </c>
    </row>
    <row r="48" spans="1:25">
      <c r="A48" t="s">
        <v>226</v>
      </c>
      <c r="B48" s="113">
        <v>43567</v>
      </c>
      <c r="C48" t="s">
        <v>162</v>
      </c>
      <c r="D48" t="s">
        <v>187</v>
      </c>
      <c r="E48">
        <v>44</v>
      </c>
      <c r="F48">
        <v>792</v>
      </c>
      <c r="G48" t="s">
        <v>155</v>
      </c>
      <c r="H48">
        <v>21733.506310000001</v>
      </c>
      <c r="I48">
        <v>21733.506310000001</v>
      </c>
      <c r="J48" t="s">
        <v>156</v>
      </c>
      <c r="K48" t="s">
        <v>156</v>
      </c>
      <c r="L48">
        <v>0.8</v>
      </c>
      <c r="M48" t="s">
        <v>149</v>
      </c>
      <c r="N48">
        <v>2</v>
      </c>
      <c r="O48">
        <v>13.8</v>
      </c>
      <c r="P48">
        <v>1</v>
      </c>
      <c r="Q48">
        <v>1200</v>
      </c>
      <c r="R48">
        <v>0.88045200999999995</v>
      </c>
      <c r="S48" t="s">
        <v>150</v>
      </c>
      <c r="T48">
        <v>19</v>
      </c>
      <c r="U48">
        <v>0</v>
      </c>
      <c r="V48">
        <v>19</v>
      </c>
      <c r="W48">
        <v>0</v>
      </c>
      <c r="X48" t="s">
        <v>149</v>
      </c>
      <c r="Y48" t="s">
        <v>157</v>
      </c>
    </row>
    <row r="49" spans="1:25">
      <c r="A49" t="s">
        <v>227</v>
      </c>
      <c r="B49" s="113">
        <v>43568</v>
      </c>
      <c r="C49" t="s">
        <v>145</v>
      </c>
      <c r="D49" t="s">
        <v>172</v>
      </c>
      <c r="E49">
        <v>52</v>
      </c>
      <c r="F49">
        <v>526</v>
      </c>
      <c r="G49" t="s">
        <v>176</v>
      </c>
      <c r="H49">
        <v>184765.3916</v>
      </c>
      <c r="I49">
        <v>184765.3916</v>
      </c>
      <c r="J49" t="s">
        <v>148</v>
      </c>
      <c r="K49" t="s">
        <v>148</v>
      </c>
      <c r="L49">
        <v>8.8000000000000007</v>
      </c>
      <c r="M49" t="s">
        <v>149</v>
      </c>
      <c r="N49">
        <v>1</v>
      </c>
      <c r="O49">
        <v>11.7</v>
      </c>
      <c r="P49">
        <v>3</v>
      </c>
      <c r="Q49">
        <v>1250</v>
      </c>
      <c r="R49">
        <v>0.94474462699999995</v>
      </c>
      <c r="S49" t="s">
        <v>150</v>
      </c>
      <c r="T49">
        <v>17</v>
      </c>
      <c r="U49">
        <v>0</v>
      </c>
      <c r="V49">
        <v>17</v>
      </c>
      <c r="W49">
        <v>0</v>
      </c>
      <c r="X49" t="s">
        <v>149</v>
      </c>
      <c r="Y49" t="s">
        <v>157</v>
      </c>
    </row>
    <row r="50" spans="1:25">
      <c r="A50" t="s">
        <v>228</v>
      </c>
      <c r="B50" s="113">
        <v>43568</v>
      </c>
      <c r="C50" t="s">
        <v>162</v>
      </c>
      <c r="D50" t="s">
        <v>179</v>
      </c>
      <c r="E50">
        <v>42</v>
      </c>
      <c r="F50">
        <v>769</v>
      </c>
      <c r="G50" t="s">
        <v>169</v>
      </c>
      <c r="H50">
        <v>122599.08869999999</v>
      </c>
      <c r="I50">
        <v>122599.08869999999</v>
      </c>
      <c r="J50" t="s">
        <v>183</v>
      </c>
      <c r="K50" t="s">
        <v>183</v>
      </c>
      <c r="L50">
        <v>1.3</v>
      </c>
      <c r="M50" t="s">
        <v>149</v>
      </c>
      <c r="N50">
        <v>1</v>
      </c>
      <c r="O50">
        <v>0.8</v>
      </c>
      <c r="P50">
        <v>2</v>
      </c>
      <c r="Q50">
        <v>1650</v>
      </c>
      <c r="R50">
        <v>0.98490333399999996</v>
      </c>
      <c r="S50" t="s">
        <v>150</v>
      </c>
      <c r="T50">
        <v>21</v>
      </c>
      <c r="U50">
        <v>0</v>
      </c>
      <c r="V50">
        <v>21</v>
      </c>
      <c r="W50">
        <v>0</v>
      </c>
      <c r="X50" t="s">
        <v>151</v>
      </c>
      <c r="Y50" t="s">
        <v>152</v>
      </c>
    </row>
    <row r="51" spans="1:25">
      <c r="A51" t="s">
        <v>229</v>
      </c>
      <c r="B51" s="113">
        <v>43571</v>
      </c>
      <c r="C51" t="s">
        <v>162</v>
      </c>
      <c r="D51" t="s">
        <v>163</v>
      </c>
      <c r="E51">
        <v>55</v>
      </c>
      <c r="F51">
        <v>637</v>
      </c>
      <c r="G51" t="s">
        <v>147</v>
      </c>
      <c r="H51">
        <v>90123.533739999999</v>
      </c>
      <c r="I51">
        <v>90123.533739999999</v>
      </c>
      <c r="J51" t="s">
        <v>148</v>
      </c>
      <c r="K51" t="s">
        <v>148</v>
      </c>
      <c r="L51">
        <v>22.7</v>
      </c>
      <c r="M51" t="s">
        <v>151</v>
      </c>
      <c r="N51">
        <v>1</v>
      </c>
      <c r="O51">
        <v>3.6</v>
      </c>
      <c r="P51">
        <v>0</v>
      </c>
      <c r="Q51">
        <v>1200</v>
      </c>
      <c r="R51">
        <v>0.99990225899999996</v>
      </c>
      <c r="S51" t="s">
        <v>198</v>
      </c>
      <c r="Y51" t="s">
        <v>199</v>
      </c>
    </row>
    <row r="52" spans="1:25">
      <c r="A52" t="s">
        <v>230</v>
      </c>
      <c r="B52" s="113">
        <v>43571</v>
      </c>
      <c r="C52" t="s">
        <v>159</v>
      </c>
      <c r="D52" t="s">
        <v>197</v>
      </c>
      <c r="E52">
        <v>52</v>
      </c>
      <c r="F52">
        <v>753</v>
      </c>
      <c r="G52" t="s">
        <v>176</v>
      </c>
      <c r="H52">
        <v>52762.112260000002</v>
      </c>
      <c r="I52">
        <v>52762.112260000002</v>
      </c>
      <c r="J52" t="s">
        <v>183</v>
      </c>
      <c r="K52" t="s">
        <v>183</v>
      </c>
      <c r="L52">
        <v>3.5</v>
      </c>
      <c r="M52" t="s">
        <v>149</v>
      </c>
      <c r="N52">
        <v>4</v>
      </c>
      <c r="O52">
        <v>0.5</v>
      </c>
      <c r="P52">
        <v>3</v>
      </c>
      <c r="Q52">
        <v>900</v>
      </c>
      <c r="R52">
        <v>0.98935824699999997</v>
      </c>
      <c r="S52" t="s">
        <v>150</v>
      </c>
      <c r="T52">
        <v>23</v>
      </c>
      <c r="U52">
        <v>0</v>
      </c>
      <c r="V52">
        <v>23</v>
      </c>
      <c r="W52">
        <v>0</v>
      </c>
      <c r="X52" t="s">
        <v>149</v>
      </c>
      <c r="Y52" t="s">
        <v>157</v>
      </c>
    </row>
    <row r="53" spans="1:25">
      <c r="A53" t="s">
        <v>231</v>
      </c>
      <c r="B53" s="113">
        <v>43571</v>
      </c>
      <c r="C53" t="s">
        <v>162</v>
      </c>
      <c r="D53" t="s">
        <v>163</v>
      </c>
      <c r="E53">
        <v>41</v>
      </c>
      <c r="F53">
        <v>729</v>
      </c>
      <c r="G53" t="s">
        <v>176</v>
      </c>
      <c r="H53">
        <v>58716.474730000002</v>
      </c>
      <c r="I53">
        <v>58716.474730000002</v>
      </c>
      <c r="J53" t="s">
        <v>148</v>
      </c>
      <c r="K53" t="s">
        <v>148</v>
      </c>
      <c r="L53">
        <v>1.4</v>
      </c>
      <c r="M53" t="s">
        <v>149</v>
      </c>
      <c r="N53">
        <v>0</v>
      </c>
      <c r="O53">
        <v>16.7</v>
      </c>
      <c r="P53">
        <v>3</v>
      </c>
      <c r="Q53">
        <v>1000</v>
      </c>
      <c r="R53">
        <v>0.95354064999999999</v>
      </c>
      <c r="S53" t="s">
        <v>150</v>
      </c>
      <c r="T53">
        <v>12</v>
      </c>
      <c r="U53">
        <v>0</v>
      </c>
      <c r="V53">
        <v>12</v>
      </c>
      <c r="W53">
        <v>0</v>
      </c>
      <c r="X53" t="s">
        <v>149</v>
      </c>
      <c r="Y53" t="s">
        <v>157</v>
      </c>
    </row>
    <row r="54" spans="1:25">
      <c r="A54" t="s">
        <v>232</v>
      </c>
      <c r="B54" s="113">
        <v>43573</v>
      </c>
      <c r="C54" t="s">
        <v>159</v>
      </c>
      <c r="D54" t="s">
        <v>160</v>
      </c>
      <c r="E54">
        <v>46</v>
      </c>
      <c r="F54">
        <v>715</v>
      </c>
      <c r="G54" t="s">
        <v>169</v>
      </c>
      <c r="H54">
        <v>49231.944920000002</v>
      </c>
      <c r="I54">
        <v>49231.944920000002</v>
      </c>
      <c r="J54" t="s">
        <v>148</v>
      </c>
      <c r="K54" t="s">
        <v>148</v>
      </c>
      <c r="L54">
        <v>5.8</v>
      </c>
      <c r="M54" t="s">
        <v>149</v>
      </c>
      <c r="N54">
        <v>5</v>
      </c>
      <c r="O54">
        <v>5.3</v>
      </c>
      <c r="P54">
        <v>3</v>
      </c>
      <c r="Q54">
        <v>850</v>
      </c>
      <c r="R54">
        <v>0.89336444400000004</v>
      </c>
      <c r="S54" t="s">
        <v>150</v>
      </c>
      <c r="T54">
        <v>12</v>
      </c>
      <c r="U54">
        <v>0</v>
      </c>
      <c r="V54">
        <v>12</v>
      </c>
      <c r="W54">
        <v>0</v>
      </c>
      <c r="X54" t="s">
        <v>149</v>
      </c>
      <c r="Y54" t="s">
        <v>157</v>
      </c>
    </row>
    <row r="55" spans="1:25">
      <c r="A55" t="s">
        <v>233</v>
      </c>
      <c r="B55" s="113">
        <v>43574</v>
      </c>
      <c r="C55" t="s">
        <v>162</v>
      </c>
      <c r="D55" t="s">
        <v>190</v>
      </c>
      <c r="E55">
        <v>32</v>
      </c>
      <c r="F55">
        <v>693</v>
      </c>
      <c r="G55" t="s">
        <v>147</v>
      </c>
      <c r="H55">
        <v>18392.61291</v>
      </c>
      <c r="I55">
        <v>18392.61291</v>
      </c>
      <c r="J55" t="s">
        <v>181</v>
      </c>
      <c r="K55" t="s">
        <v>181</v>
      </c>
      <c r="L55">
        <v>5.7</v>
      </c>
      <c r="M55" t="s">
        <v>151</v>
      </c>
      <c r="N55">
        <v>3</v>
      </c>
      <c r="O55">
        <v>0.9</v>
      </c>
      <c r="P55">
        <v>2</v>
      </c>
      <c r="Q55">
        <v>1350</v>
      </c>
      <c r="R55">
        <v>0.81036685600000002</v>
      </c>
      <c r="S55" t="s">
        <v>198</v>
      </c>
      <c r="Y55" t="s">
        <v>199</v>
      </c>
    </row>
    <row r="56" spans="1:25">
      <c r="A56" t="s">
        <v>234</v>
      </c>
      <c r="B56" s="113">
        <v>43576</v>
      </c>
      <c r="C56" t="s">
        <v>162</v>
      </c>
      <c r="D56" t="s">
        <v>163</v>
      </c>
      <c r="E56">
        <v>32</v>
      </c>
      <c r="F56">
        <v>537</v>
      </c>
      <c r="G56" t="s">
        <v>147</v>
      </c>
      <c r="H56">
        <v>19618.584869999999</v>
      </c>
      <c r="I56">
        <v>19618.584869999999</v>
      </c>
      <c r="J56" t="s">
        <v>148</v>
      </c>
      <c r="K56" t="s">
        <v>148</v>
      </c>
      <c r="L56">
        <v>22.2</v>
      </c>
      <c r="M56" t="s">
        <v>149</v>
      </c>
      <c r="N56">
        <v>1</v>
      </c>
      <c r="O56">
        <v>1.1000000000000001</v>
      </c>
      <c r="P56">
        <v>3</v>
      </c>
      <c r="Q56">
        <v>800</v>
      </c>
      <c r="R56">
        <v>0.70666809600000002</v>
      </c>
      <c r="S56" t="s">
        <v>198</v>
      </c>
      <c r="Y56" t="s">
        <v>199</v>
      </c>
    </row>
    <row r="57" spans="1:25">
      <c r="A57" t="s">
        <v>235</v>
      </c>
      <c r="B57" s="113">
        <v>43577</v>
      </c>
      <c r="C57" t="s">
        <v>145</v>
      </c>
      <c r="D57" t="s">
        <v>146</v>
      </c>
      <c r="E57">
        <v>56</v>
      </c>
      <c r="F57">
        <v>626</v>
      </c>
      <c r="G57" t="s">
        <v>155</v>
      </c>
      <c r="H57">
        <v>87757.136939999997</v>
      </c>
      <c r="I57">
        <v>87757.136939999997</v>
      </c>
      <c r="J57" t="s">
        <v>148</v>
      </c>
      <c r="K57" t="s">
        <v>148</v>
      </c>
      <c r="L57">
        <v>0.3</v>
      </c>
      <c r="M57" t="s">
        <v>149</v>
      </c>
      <c r="N57">
        <v>3</v>
      </c>
      <c r="O57">
        <v>0.3</v>
      </c>
      <c r="P57">
        <v>3</v>
      </c>
      <c r="Q57">
        <v>1350</v>
      </c>
      <c r="R57">
        <v>0.584917193</v>
      </c>
      <c r="S57" t="s">
        <v>198</v>
      </c>
      <c r="Y57" t="s">
        <v>199</v>
      </c>
    </row>
    <row r="58" spans="1:25">
      <c r="A58" t="s">
        <v>236</v>
      </c>
      <c r="B58" s="113">
        <v>43579</v>
      </c>
      <c r="C58" t="s">
        <v>159</v>
      </c>
      <c r="D58" t="s">
        <v>168</v>
      </c>
      <c r="E58">
        <v>40</v>
      </c>
      <c r="F58">
        <v>652</v>
      </c>
      <c r="G58" t="s">
        <v>147</v>
      </c>
      <c r="H58">
        <v>62159.509299999998</v>
      </c>
      <c r="I58">
        <v>62159.509299999998</v>
      </c>
      <c r="J58" t="s">
        <v>156</v>
      </c>
      <c r="K58" t="s">
        <v>156</v>
      </c>
      <c r="L58">
        <v>4.3</v>
      </c>
      <c r="M58" t="s">
        <v>149</v>
      </c>
      <c r="N58">
        <v>2</v>
      </c>
      <c r="O58">
        <v>0.1</v>
      </c>
      <c r="P58">
        <v>2</v>
      </c>
      <c r="Q58">
        <v>1550</v>
      </c>
      <c r="R58">
        <v>0.44822432699999998</v>
      </c>
      <c r="S58" t="s">
        <v>150</v>
      </c>
      <c r="T58">
        <v>23</v>
      </c>
      <c r="U58">
        <v>0</v>
      </c>
      <c r="V58">
        <v>23</v>
      </c>
      <c r="W58">
        <v>0</v>
      </c>
      <c r="X58" t="s">
        <v>149</v>
      </c>
      <c r="Y58" t="s">
        <v>157</v>
      </c>
    </row>
    <row r="59" spans="1:25">
      <c r="A59" t="s">
        <v>237</v>
      </c>
      <c r="B59" s="113">
        <v>43583</v>
      </c>
      <c r="C59" t="s">
        <v>162</v>
      </c>
      <c r="D59" t="s">
        <v>193</v>
      </c>
      <c r="E59">
        <v>30</v>
      </c>
      <c r="F59">
        <v>575</v>
      </c>
      <c r="G59" t="s">
        <v>155</v>
      </c>
      <c r="H59">
        <v>50206.08498</v>
      </c>
      <c r="I59">
        <v>50206.08498</v>
      </c>
      <c r="J59" t="s">
        <v>148</v>
      </c>
      <c r="K59" t="s">
        <v>148</v>
      </c>
      <c r="L59">
        <v>3.6</v>
      </c>
      <c r="M59" t="s">
        <v>149</v>
      </c>
      <c r="N59">
        <v>0</v>
      </c>
      <c r="O59">
        <v>0.2</v>
      </c>
      <c r="P59">
        <v>3</v>
      </c>
      <c r="Q59">
        <v>1600</v>
      </c>
      <c r="R59">
        <v>0.30008137600000001</v>
      </c>
      <c r="S59" t="s">
        <v>150</v>
      </c>
      <c r="T59">
        <v>23</v>
      </c>
      <c r="U59">
        <v>0</v>
      </c>
      <c r="V59">
        <v>23</v>
      </c>
      <c r="W59">
        <v>0</v>
      </c>
      <c r="X59" t="s">
        <v>149</v>
      </c>
      <c r="Y59" t="s">
        <v>157</v>
      </c>
    </row>
    <row r="60" spans="1:25">
      <c r="A60" t="s">
        <v>238</v>
      </c>
      <c r="B60" s="113">
        <v>43584</v>
      </c>
      <c r="C60" t="s">
        <v>159</v>
      </c>
      <c r="D60" t="s">
        <v>209</v>
      </c>
      <c r="E60">
        <v>42</v>
      </c>
      <c r="F60">
        <v>507</v>
      </c>
      <c r="G60" t="s">
        <v>176</v>
      </c>
      <c r="H60">
        <v>83836.448839999997</v>
      </c>
      <c r="J60" t="s">
        <v>148</v>
      </c>
      <c r="K60" t="s">
        <v>148</v>
      </c>
      <c r="L60">
        <v>9.8000000000000007</v>
      </c>
      <c r="M60" t="s">
        <v>149</v>
      </c>
      <c r="N60">
        <v>5</v>
      </c>
      <c r="O60">
        <v>1.9</v>
      </c>
      <c r="P60">
        <v>2</v>
      </c>
      <c r="Q60">
        <v>800</v>
      </c>
      <c r="R60">
        <v>0.14427271699999999</v>
      </c>
      <c r="S60" t="s">
        <v>150</v>
      </c>
      <c r="T60">
        <v>22</v>
      </c>
      <c r="U60">
        <v>0</v>
      </c>
      <c r="V60">
        <v>22</v>
      </c>
      <c r="W60">
        <v>0</v>
      </c>
      <c r="X60" t="s">
        <v>149</v>
      </c>
      <c r="Y60" t="s">
        <v>157</v>
      </c>
    </row>
    <row r="61" spans="1:25">
      <c r="A61" t="s">
        <v>239</v>
      </c>
      <c r="B61" s="113">
        <v>43584</v>
      </c>
      <c r="C61" t="s">
        <v>159</v>
      </c>
      <c r="D61" t="s">
        <v>209</v>
      </c>
      <c r="E61">
        <v>26</v>
      </c>
      <c r="F61">
        <v>620</v>
      </c>
      <c r="G61" t="s">
        <v>176</v>
      </c>
      <c r="H61">
        <v>27360.93521</v>
      </c>
      <c r="I61">
        <v>27360.93521</v>
      </c>
      <c r="J61" t="s">
        <v>148</v>
      </c>
      <c r="K61" t="s">
        <v>148</v>
      </c>
      <c r="L61">
        <v>1</v>
      </c>
      <c r="M61" t="s">
        <v>149</v>
      </c>
      <c r="N61">
        <v>2</v>
      </c>
      <c r="O61">
        <v>0.5</v>
      </c>
      <c r="P61">
        <v>2</v>
      </c>
      <c r="Q61">
        <v>1750</v>
      </c>
      <c r="R61">
        <v>1.5221451E-2</v>
      </c>
      <c r="S61" t="s">
        <v>198</v>
      </c>
      <c r="Y61" t="s">
        <v>199</v>
      </c>
    </row>
    <row r="62" spans="1:25">
      <c r="A62" t="s">
        <v>240</v>
      </c>
      <c r="B62" s="113">
        <v>43584</v>
      </c>
      <c r="C62" t="s">
        <v>162</v>
      </c>
      <c r="D62" t="s">
        <v>190</v>
      </c>
      <c r="E62">
        <v>52</v>
      </c>
      <c r="F62">
        <v>832</v>
      </c>
      <c r="G62" t="s">
        <v>155</v>
      </c>
      <c r="H62">
        <v>46187.371010000003</v>
      </c>
      <c r="J62" t="s">
        <v>148</v>
      </c>
      <c r="K62" t="s">
        <v>148</v>
      </c>
      <c r="L62">
        <v>3</v>
      </c>
      <c r="M62" t="s">
        <v>149</v>
      </c>
      <c r="N62">
        <v>8</v>
      </c>
      <c r="O62">
        <v>3.2</v>
      </c>
      <c r="P62">
        <v>3</v>
      </c>
      <c r="Q62">
        <v>1800</v>
      </c>
      <c r="R62">
        <v>0.17432678099999999</v>
      </c>
      <c r="S62" t="s">
        <v>150</v>
      </c>
      <c r="T62">
        <v>12</v>
      </c>
      <c r="U62">
        <v>0</v>
      </c>
      <c r="V62">
        <v>12</v>
      </c>
      <c r="W62">
        <v>0</v>
      </c>
      <c r="X62" t="s">
        <v>149</v>
      </c>
      <c r="Y62" t="s">
        <v>157</v>
      </c>
    </row>
    <row r="63" spans="1:25">
      <c r="A63" t="s">
        <v>241</v>
      </c>
      <c r="B63" s="113">
        <v>43584</v>
      </c>
      <c r="C63" t="s">
        <v>145</v>
      </c>
      <c r="D63" t="s">
        <v>213</v>
      </c>
      <c r="E63">
        <v>42</v>
      </c>
      <c r="F63">
        <v>740</v>
      </c>
      <c r="G63" t="s">
        <v>155</v>
      </c>
      <c r="H63">
        <v>39898.083579999999</v>
      </c>
      <c r="I63">
        <v>39898.083579999999</v>
      </c>
      <c r="J63" t="s">
        <v>148</v>
      </c>
      <c r="K63" t="s">
        <v>148</v>
      </c>
      <c r="L63">
        <v>0.8</v>
      </c>
      <c r="M63" t="s">
        <v>149</v>
      </c>
      <c r="N63">
        <v>1</v>
      </c>
      <c r="O63">
        <v>4.3</v>
      </c>
      <c r="P63">
        <v>1</v>
      </c>
      <c r="Q63">
        <v>800</v>
      </c>
      <c r="R63">
        <v>0.32897885799999999</v>
      </c>
      <c r="S63" t="s">
        <v>150</v>
      </c>
      <c r="T63">
        <v>19</v>
      </c>
      <c r="U63">
        <v>1</v>
      </c>
      <c r="V63">
        <v>19</v>
      </c>
      <c r="W63">
        <v>0</v>
      </c>
      <c r="X63" t="s">
        <v>149</v>
      </c>
      <c r="Y63" t="s">
        <v>157</v>
      </c>
    </row>
    <row r="64" spans="1:25">
      <c r="A64" t="s">
        <v>242</v>
      </c>
      <c r="B64" s="113">
        <v>43588</v>
      </c>
      <c r="C64" t="s">
        <v>162</v>
      </c>
      <c r="D64" t="s">
        <v>190</v>
      </c>
      <c r="E64">
        <v>46</v>
      </c>
      <c r="F64">
        <v>557</v>
      </c>
      <c r="G64" t="s">
        <v>155</v>
      </c>
      <c r="H64">
        <v>13792.061009999999</v>
      </c>
      <c r="J64" t="s">
        <v>148</v>
      </c>
      <c r="K64" t="s">
        <v>148</v>
      </c>
      <c r="L64">
        <v>0.1</v>
      </c>
      <c r="M64" t="s">
        <v>149</v>
      </c>
      <c r="N64">
        <v>1</v>
      </c>
      <c r="O64">
        <v>5.6</v>
      </c>
      <c r="P64">
        <v>2</v>
      </c>
      <c r="Q64">
        <v>800</v>
      </c>
      <c r="R64">
        <v>0.47522702700000002</v>
      </c>
      <c r="S64" t="s">
        <v>150</v>
      </c>
      <c r="T64">
        <v>17</v>
      </c>
      <c r="U64">
        <v>0</v>
      </c>
      <c r="V64">
        <v>17</v>
      </c>
      <c r="W64">
        <v>0</v>
      </c>
      <c r="X64" t="s">
        <v>149</v>
      </c>
      <c r="Y64" t="s">
        <v>157</v>
      </c>
    </row>
    <row r="65" spans="1:25">
      <c r="A65" t="s">
        <v>243</v>
      </c>
      <c r="B65" s="113">
        <v>43591</v>
      </c>
      <c r="C65" t="s">
        <v>162</v>
      </c>
      <c r="D65" t="s">
        <v>193</v>
      </c>
      <c r="E65">
        <v>61</v>
      </c>
      <c r="F65">
        <v>832</v>
      </c>
      <c r="G65" t="s">
        <v>176</v>
      </c>
      <c r="H65">
        <v>21305.55933</v>
      </c>
      <c r="I65">
        <v>21305.55933</v>
      </c>
      <c r="J65" t="s">
        <v>156</v>
      </c>
      <c r="K65" t="s">
        <v>156</v>
      </c>
      <c r="L65">
        <v>5.5</v>
      </c>
      <c r="M65" t="s">
        <v>151</v>
      </c>
      <c r="N65">
        <v>1</v>
      </c>
      <c r="O65">
        <v>15.8</v>
      </c>
      <c r="P65">
        <v>2</v>
      </c>
      <c r="Q65">
        <v>900</v>
      </c>
      <c r="R65">
        <v>0.60933531600000002</v>
      </c>
      <c r="S65" t="s">
        <v>198</v>
      </c>
      <c r="Y65" t="s">
        <v>199</v>
      </c>
    </row>
    <row r="66" spans="1:25">
      <c r="A66" t="s">
        <v>244</v>
      </c>
      <c r="B66" s="113">
        <v>43593</v>
      </c>
      <c r="C66" t="s">
        <v>162</v>
      </c>
      <c r="D66" t="s">
        <v>187</v>
      </c>
      <c r="E66">
        <v>49</v>
      </c>
      <c r="F66">
        <v>791</v>
      </c>
      <c r="G66" t="s">
        <v>155</v>
      </c>
      <c r="H66">
        <v>139145.9994</v>
      </c>
      <c r="I66">
        <v>139145.9994</v>
      </c>
      <c r="J66" t="s">
        <v>148</v>
      </c>
      <c r="K66" t="s">
        <v>148</v>
      </c>
      <c r="L66">
        <v>1.1000000000000001</v>
      </c>
      <c r="M66" t="s">
        <v>149</v>
      </c>
      <c r="N66">
        <v>4</v>
      </c>
      <c r="O66">
        <v>0.3</v>
      </c>
      <c r="P66">
        <v>2</v>
      </c>
      <c r="Q66">
        <v>1600</v>
      </c>
      <c r="R66">
        <v>0.72787787000000004</v>
      </c>
      <c r="S66" t="s">
        <v>150</v>
      </c>
      <c r="T66">
        <v>18</v>
      </c>
      <c r="U66">
        <v>0</v>
      </c>
      <c r="V66">
        <v>18</v>
      </c>
      <c r="W66">
        <v>0</v>
      </c>
      <c r="X66" t="s">
        <v>149</v>
      </c>
      <c r="Y66" t="s">
        <v>157</v>
      </c>
    </row>
    <row r="67" spans="1:25">
      <c r="A67" t="s">
        <v>245</v>
      </c>
      <c r="B67" s="113">
        <v>43593</v>
      </c>
      <c r="C67" t="s">
        <v>162</v>
      </c>
      <c r="D67" t="s">
        <v>195</v>
      </c>
      <c r="E67">
        <v>25</v>
      </c>
      <c r="F67">
        <v>665</v>
      </c>
      <c r="G67" t="s">
        <v>176</v>
      </c>
      <c r="H67">
        <v>95433.277820000003</v>
      </c>
      <c r="J67" t="s">
        <v>148</v>
      </c>
      <c r="K67" t="s">
        <v>148</v>
      </c>
      <c r="L67">
        <v>0.9</v>
      </c>
      <c r="M67" t="s">
        <v>149</v>
      </c>
      <c r="N67">
        <v>1</v>
      </c>
      <c r="O67">
        <v>12.5</v>
      </c>
      <c r="P67">
        <v>3</v>
      </c>
      <c r="Q67">
        <v>1250</v>
      </c>
      <c r="R67">
        <v>0.82782646900000001</v>
      </c>
      <c r="S67" t="s">
        <v>150</v>
      </c>
      <c r="T67">
        <v>21</v>
      </c>
      <c r="U67">
        <v>1</v>
      </c>
      <c r="V67">
        <v>21</v>
      </c>
      <c r="W67">
        <v>0</v>
      </c>
      <c r="X67" t="s">
        <v>151</v>
      </c>
      <c r="Y67" t="s">
        <v>152</v>
      </c>
    </row>
    <row r="68" spans="1:25">
      <c r="A68" t="s">
        <v>246</v>
      </c>
      <c r="B68" s="113">
        <v>43594</v>
      </c>
      <c r="C68" t="s">
        <v>162</v>
      </c>
      <c r="D68" t="s">
        <v>163</v>
      </c>
      <c r="E68">
        <v>45</v>
      </c>
      <c r="F68">
        <v>681</v>
      </c>
      <c r="G68" t="s">
        <v>176</v>
      </c>
      <c r="H68">
        <v>48450.169629999997</v>
      </c>
      <c r="I68">
        <v>48450.169629999997</v>
      </c>
      <c r="J68" t="s">
        <v>148</v>
      </c>
      <c r="K68" t="s">
        <v>148</v>
      </c>
      <c r="L68">
        <v>2.7</v>
      </c>
      <c r="M68" t="s">
        <v>149</v>
      </c>
      <c r="N68">
        <v>4</v>
      </c>
      <c r="O68">
        <v>10.6</v>
      </c>
      <c r="P68">
        <v>3</v>
      </c>
      <c r="Q68">
        <v>850</v>
      </c>
      <c r="R68">
        <v>0.906627882</v>
      </c>
      <c r="S68" t="s">
        <v>150</v>
      </c>
      <c r="T68">
        <v>17</v>
      </c>
      <c r="U68">
        <v>0</v>
      </c>
      <c r="V68">
        <v>17</v>
      </c>
      <c r="W68">
        <v>0</v>
      </c>
      <c r="X68" t="s">
        <v>149</v>
      </c>
      <c r="Y68" t="s">
        <v>157</v>
      </c>
    </row>
    <row r="69" spans="1:25">
      <c r="A69" t="s">
        <v>247</v>
      </c>
      <c r="B69" s="113">
        <v>43596</v>
      </c>
      <c r="C69" t="s">
        <v>159</v>
      </c>
      <c r="D69" t="s">
        <v>165</v>
      </c>
      <c r="E69">
        <v>46</v>
      </c>
      <c r="F69">
        <v>672</v>
      </c>
      <c r="G69" t="s">
        <v>169</v>
      </c>
      <c r="H69">
        <v>31700.200079999999</v>
      </c>
      <c r="I69">
        <v>31700.200079999999</v>
      </c>
      <c r="J69" t="s">
        <v>148</v>
      </c>
      <c r="K69" t="s">
        <v>148</v>
      </c>
      <c r="L69">
        <v>21.2</v>
      </c>
      <c r="M69" t="s">
        <v>149</v>
      </c>
      <c r="N69">
        <v>1</v>
      </c>
      <c r="O69">
        <v>10.7</v>
      </c>
      <c r="P69">
        <v>3</v>
      </c>
      <c r="Q69">
        <v>1100</v>
      </c>
      <c r="R69">
        <v>0.96226909299999996</v>
      </c>
      <c r="S69" t="s">
        <v>150</v>
      </c>
      <c r="T69">
        <v>20</v>
      </c>
      <c r="U69">
        <v>1</v>
      </c>
      <c r="V69">
        <v>20</v>
      </c>
      <c r="W69">
        <v>0</v>
      </c>
      <c r="X69" t="s">
        <v>149</v>
      </c>
      <c r="Y69" t="s">
        <v>157</v>
      </c>
    </row>
    <row r="70" spans="1:25">
      <c r="A70" t="s">
        <v>248</v>
      </c>
      <c r="B70" s="113">
        <v>43597</v>
      </c>
      <c r="C70" t="s">
        <v>162</v>
      </c>
      <c r="D70" t="s">
        <v>187</v>
      </c>
      <c r="E70">
        <v>37</v>
      </c>
      <c r="F70">
        <v>622</v>
      </c>
      <c r="G70" t="s">
        <v>176</v>
      </c>
      <c r="H70">
        <v>217860.91810000001</v>
      </c>
      <c r="J70" t="s">
        <v>249</v>
      </c>
      <c r="K70" t="s">
        <v>249</v>
      </c>
      <c r="L70">
        <v>6.8</v>
      </c>
      <c r="M70" t="s">
        <v>149</v>
      </c>
      <c r="N70">
        <v>0</v>
      </c>
      <c r="O70">
        <v>11.2</v>
      </c>
      <c r="P70">
        <v>2</v>
      </c>
      <c r="Q70">
        <v>1100</v>
      </c>
      <c r="R70">
        <v>0.99332872299999997</v>
      </c>
      <c r="S70" t="s">
        <v>150</v>
      </c>
      <c r="T70">
        <v>23</v>
      </c>
      <c r="U70">
        <v>0</v>
      </c>
      <c r="V70">
        <v>23</v>
      </c>
      <c r="W70">
        <v>0</v>
      </c>
      <c r="X70" t="s">
        <v>151</v>
      </c>
      <c r="Y70" t="s">
        <v>152</v>
      </c>
    </row>
    <row r="71" spans="1:25">
      <c r="A71" t="s">
        <v>250</v>
      </c>
      <c r="B71" s="113">
        <v>43599</v>
      </c>
      <c r="C71" t="s">
        <v>159</v>
      </c>
      <c r="D71" t="s">
        <v>168</v>
      </c>
      <c r="E71">
        <v>28</v>
      </c>
      <c r="F71">
        <v>819</v>
      </c>
      <c r="G71" t="s">
        <v>169</v>
      </c>
      <c r="H71">
        <v>35789.474889999998</v>
      </c>
      <c r="J71" t="s">
        <v>221</v>
      </c>
      <c r="K71" t="s">
        <v>221</v>
      </c>
      <c r="L71">
        <v>1.1000000000000001</v>
      </c>
      <c r="M71" t="s">
        <v>149</v>
      </c>
      <c r="N71">
        <v>3</v>
      </c>
      <c r="O71">
        <v>14.7</v>
      </c>
      <c r="P71">
        <v>0</v>
      </c>
      <c r="Q71">
        <v>1000</v>
      </c>
      <c r="R71">
        <v>0.99901333999999997</v>
      </c>
      <c r="S71" t="s">
        <v>150</v>
      </c>
      <c r="T71">
        <v>11</v>
      </c>
      <c r="U71">
        <v>0</v>
      </c>
      <c r="V71">
        <v>11</v>
      </c>
      <c r="W71">
        <v>0</v>
      </c>
      <c r="X71" t="s">
        <v>151</v>
      </c>
      <c r="Y71" t="s">
        <v>152</v>
      </c>
    </row>
    <row r="72" spans="1:25">
      <c r="A72" t="s">
        <v>251</v>
      </c>
      <c r="B72" s="113">
        <v>43600</v>
      </c>
      <c r="C72" t="s">
        <v>159</v>
      </c>
      <c r="D72" t="s">
        <v>168</v>
      </c>
      <c r="E72">
        <v>59</v>
      </c>
      <c r="F72">
        <v>745</v>
      </c>
      <c r="G72" t="s">
        <v>176</v>
      </c>
      <c r="H72">
        <v>23174.015510000001</v>
      </c>
      <c r="J72" t="s">
        <v>148</v>
      </c>
      <c r="K72" t="s">
        <v>148</v>
      </c>
      <c r="L72">
        <v>14.2</v>
      </c>
      <c r="M72" t="s">
        <v>149</v>
      </c>
      <c r="N72">
        <v>2</v>
      </c>
      <c r="O72">
        <v>10.9</v>
      </c>
      <c r="P72">
        <v>2</v>
      </c>
      <c r="Q72">
        <v>900</v>
      </c>
      <c r="R72">
        <v>0.979177729</v>
      </c>
      <c r="S72" t="s">
        <v>150</v>
      </c>
      <c r="T72">
        <v>7</v>
      </c>
      <c r="U72">
        <v>0</v>
      </c>
      <c r="V72">
        <v>7</v>
      </c>
      <c r="W72">
        <v>0</v>
      </c>
      <c r="X72" t="s">
        <v>151</v>
      </c>
      <c r="Y72" t="s">
        <v>152</v>
      </c>
    </row>
    <row r="73" spans="1:25">
      <c r="A73" t="s">
        <v>252</v>
      </c>
      <c r="B73" s="113">
        <v>43602</v>
      </c>
      <c r="C73" t="s">
        <v>159</v>
      </c>
      <c r="D73" t="s">
        <v>165</v>
      </c>
      <c r="E73">
        <v>63</v>
      </c>
      <c r="F73">
        <v>784</v>
      </c>
      <c r="G73" t="s">
        <v>155</v>
      </c>
      <c r="H73">
        <v>48475.657639999998</v>
      </c>
      <c r="I73">
        <v>48475.657639999998</v>
      </c>
      <c r="J73" t="s">
        <v>148</v>
      </c>
      <c r="K73" t="s">
        <v>148</v>
      </c>
      <c r="L73">
        <v>10.3</v>
      </c>
      <c r="M73" t="s">
        <v>149</v>
      </c>
      <c r="N73">
        <v>2</v>
      </c>
      <c r="O73">
        <v>6.5</v>
      </c>
      <c r="P73">
        <v>3</v>
      </c>
      <c r="Q73">
        <v>1500</v>
      </c>
      <c r="R73">
        <v>0.93432859899999998</v>
      </c>
      <c r="S73" t="s">
        <v>150</v>
      </c>
      <c r="T73">
        <v>8</v>
      </c>
      <c r="U73">
        <v>0</v>
      </c>
      <c r="V73">
        <v>8</v>
      </c>
      <c r="W73">
        <v>0</v>
      </c>
      <c r="X73" t="s">
        <v>151</v>
      </c>
      <c r="Y73" t="s">
        <v>152</v>
      </c>
    </row>
    <row r="74" spans="1:25">
      <c r="A74" t="s">
        <v>253</v>
      </c>
      <c r="B74" s="113">
        <v>43613</v>
      </c>
      <c r="C74" t="s">
        <v>145</v>
      </c>
      <c r="D74" t="s">
        <v>213</v>
      </c>
      <c r="E74">
        <v>22</v>
      </c>
      <c r="F74">
        <v>731</v>
      </c>
      <c r="G74" t="s">
        <v>155</v>
      </c>
      <c r="H74">
        <v>3418752</v>
      </c>
      <c r="I74">
        <v>3418752</v>
      </c>
      <c r="J74" t="s">
        <v>221</v>
      </c>
      <c r="K74" t="s">
        <v>221</v>
      </c>
      <c r="L74">
        <v>2.1</v>
      </c>
      <c r="M74" t="s">
        <v>149</v>
      </c>
      <c r="N74">
        <v>2</v>
      </c>
      <c r="O74">
        <v>3.6</v>
      </c>
      <c r="P74">
        <v>0</v>
      </c>
      <c r="Q74">
        <v>0</v>
      </c>
      <c r="R74">
        <v>0.86561163900000004</v>
      </c>
      <c r="S74" t="s">
        <v>198</v>
      </c>
      <c r="T74">
        <v>0</v>
      </c>
      <c r="U74">
        <v>0</v>
      </c>
      <c r="V74">
        <v>0</v>
      </c>
      <c r="W74">
        <v>0</v>
      </c>
      <c r="X74" t="s">
        <v>149</v>
      </c>
      <c r="Y74" t="s">
        <v>199</v>
      </c>
    </row>
    <row r="75" spans="1:25">
      <c r="A75" t="s">
        <v>254</v>
      </c>
      <c r="B75" s="113">
        <v>43613</v>
      </c>
      <c r="C75" t="s">
        <v>162</v>
      </c>
      <c r="D75" t="s">
        <v>190</v>
      </c>
      <c r="E75">
        <v>34</v>
      </c>
      <c r="F75">
        <v>711</v>
      </c>
      <c r="G75" t="s">
        <v>176</v>
      </c>
      <c r="H75">
        <v>27905.674620000002</v>
      </c>
      <c r="I75">
        <v>3951216</v>
      </c>
      <c r="J75" t="s">
        <v>148</v>
      </c>
      <c r="K75" t="s">
        <v>148</v>
      </c>
      <c r="L75">
        <v>3.6</v>
      </c>
      <c r="M75" t="s">
        <v>149</v>
      </c>
      <c r="N75">
        <v>2</v>
      </c>
      <c r="O75">
        <v>1.7</v>
      </c>
      <c r="P75">
        <v>2</v>
      </c>
      <c r="Q75">
        <v>1450</v>
      </c>
      <c r="R75">
        <v>0.77478225599999995</v>
      </c>
      <c r="S75" t="s">
        <v>198</v>
      </c>
      <c r="Y75" t="s">
        <v>199</v>
      </c>
    </row>
    <row r="76" spans="1:25">
      <c r="A76" t="s">
        <v>255</v>
      </c>
      <c r="B76" s="113">
        <v>43616</v>
      </c>
      <c r="C76" t="s">
        <v>145</v>
      </c>
      <c r="D76" t="s">
        <v>154</v>
      </c>
      <c r="E76">
        <v>30</v>
      </c>
      <c r="F76">
        <v>744</v>
      </c>
      <c r="G76" t="s">
        <v>147</v>
      </c>
      <c r="H76">
        <v>196582.87609999999</v>
      </c>
      <c r="I76">
        <v>6357220</v>
      </c>
      <c r="J76" t="s">
        <v>183</v>
      </c>
      <c r="K76" t="s">
        <v>183</v>
      </c>
      <c r="L76">
        <v>0</v>
      </c>
      <c r="M76" t="s">
        <v>149</v>
      </c>
      <c r="N76">
        <v>2</v>
      </c>
      <c r="O76">
        <v>0.6</v>
      </c>
      <c r="P76">
        <v>2</v>
      </c>
      <c r="Q76">
        <v>800</v>
      </c>
      <c r="R76">
        <v>0.66416072400000004</v>
      </c>
      <c r="S76" t="s">
        <v>150</v>
      </c>
      <c r="T76">
        <v>18</v>
      </c>
      <c r="U76">
        <v>1</v>
      </c>
      <c r="V76">
        <v>18</v>
      </c>
      <c r="W76">
        <v>0</v>
      </c>
      <c r="X76" t="s">
        <v>149</v>
      </c>
      <c r="Y76" t="s">
        <v>157</v>
      </c>
    </row>
    <row r="77" spans="1:25">
      <c r="A77" t="s">
        <v>256</v>
      </c>
      <c r="B77" s="113">
        <v>43617</v>
      </c>
      <c r="C77" t="s">
        <v>145</v>
      </c>
      <c r="D77" t="s">
        <v>154</v>
      </c>
      <c r="E77">
        <v>37</v>
      </c>
      <c r="F77">
        <v>711</v>
      </c>
      <c r="G77" t="s">
        <v>169</v>
      </c>
      <c r="H77">
        <v>49809.543080000003</v>
      </c>
      <c r="I77">
        <v>3248013</v>
      </c>
      <c r="J77" t="s">
        <v>148</v>
      </c>
      <c r="K77" t="s">
        <v>148</v>
      </c>
      <c r="L77">
        <v>9.4</v>
      </c>
      <c r="M77" t="s">
        <v>149</v>
      </c>
      <c r="N77">
        <v>2</v>
      </c>
      <c r="O77">
        <v>0.7</v>
      </c>
      <c r="P77">
        <v>1</v>
      </c>
      <c r="Q77">
        <v>1950</v>
      </c>
      <c r="R77">
        <v>0.53657291799999995</v>
      </c>
      <c r="S77" t="s">
        <v>150</v>
      </c>
      <c r="T77">
        <v>19</v>
      </c>
      <c r="U77">
        <v>2</v>
      </c>
      <c r="V77">
        <v>19</v>
      </c>
      <c r="W77">
        <v>0</v>
      </c>
      <c r="X77" t="s">
        <v>149</v>
      </c>
      <c r="Y77" t="s">
        <v>157</v>
      </c>
    </row>
    <row r="78" spans="1:25">
      <c r="A78" t="s">
        <v>257</v>
      </c>
      <c r="B78" s="113">
        <v>43618</v>
      </c>
      <c r="C78" t="s">
        <v>162</v>
      </c>
      <c r="D78" t="s">
        <v>190</v>
      </c>
      <c r="E78">
        <v>39</v>
      </c>
      <c r="F78">
        <v>651</v>
      </c>
      <c r="G78" t="s">
        <v>169</v>
      </c>
      <c r="H78">
        <v>48879.341160000004</v>
      </c>
      <c r="I78">
        <v>2560321</v>
      </c>
      <c r="J78" t="s">
        <v>148</v>
      </c>
      <c r="K78" t="s">
        <v>148</v>
      </c>
      <c r="L78">
        <v>2.5</v>
      </c>
      <c r="M78" t="s">
        <v>149</v>
      </c>
      <c r="N78">
        <v>5</v>
      </c>
      <c r="O78">
        <v>4.5999999999999996</v>
      </c>
      <c r="P78">
        <v>1</v>
      </c>
      <c r="Q78">
        <v>1200</v>
      </c>
      <c r="R78">
        <v>0.39527812499999998</v>
      </c>
      <c r="S78" t="s">
        <v>150</v>
      </c>
      <c r="T78">
        <v>16</v>
      </c>
      <c r="U78">
        <v>1</v>
      </c>
      <c r="V78">
        <v>16</v>
      </c>
      <c r="W78">
        <v>0</v>
      </c>
      <c r="X78" t="s">
        <v>149</v>
      </c>
      <c r="Y78" t="s">
        <v>157</v>
      </c>
    </row>
    <row r="79" spans="1:25">
      <c r="A79" t="s">
        <v>258</v>
      </c>
      <c r="B79" s="113">
        <v>43622</v>
      </c>
      <c r="C79" t="s">
        <v>145</v>
      </c>
      <c r="D79" t="s">
        <v>146</v>
      </c>
      <c r="E79">
        <v>25</v>
      </c>
      <c r="F79">
        <v>655</v>
      </c>
      <c r="G79" t="s">
        <v>147</v>
      </c>
      <c r="H79">
        <v>3951216</v>
      </c>
      <c r="I79">
        <v>3951216</v>
      </c>
      <c r="J79" t="s">
        <v>181</v>
      </c>
      <c r="K79" t="s">
        <v>181</v>
      </c>
      <c r="L79">
        <v>0.7</v>
      </c>
      <c r="M79" t="s">
        <v>149</v>
      </c>
      <c r="N79">
        <v>5</v>
      </c>
      <c r="O79">
        <v>9.1999999999999993</v>
      </c>
      <c r="P79">
        <v>3</v>
      </c>
      <c r="Q79">
        <v>0</v>
      </c>
      <c r="R79">
        <v>0.243885781</v>
      </c>
      <c r="S79" t="s">
        <v>198</v>
      </c>
      <c r="T79">
        <v>0</v>
      </c>
      <c r="U79">
        <v>0</v>
      </c>
      <c r="V79">
        <v>0</v>
      </c>
      <c r="W79">
        <v>0</v>
      </c>
      <c r="X79" t="s">
        <v>149</v>
      </c>
      <c r="Y79" t="s">
        <v>199</v>
      </c>
    </row>
    <row r="80" spans="1:25">
      <c r="A80" t="s">
        <v>259</v>
      </c>
      <c r="B80" s="113">
        <v>43624</v>
      </c>
      <c r="C80" t="s">
        <v>162</v>
      </c>
      <c r="D80" t="s">
        <v>187</v>
      </c>
      <c r="E80">
        <v>32</v>
      </c>
      <c r="F80">
        <v>673</v>
      </c>
      <c r="G80" t="s">
        <v>169</v>
      </c>
      <c r="H80">
        <v>27990.903340000001</v>
      </c>
      <c r="I80">
        <v>5560637</v>
      </c>
      <c r="J80" t="s">
        <v>156</v>
      </c>
      <c r="K80" t="s">
        <v>156</v>
      </c>
      <c r="L80">
        <v>11.1</v>
      </c>
      <c r="M80" t="s">
        <v>149</v>
      </c>
      <c r="N80">
        <v>0</v>
      </c>
      <c r="O80">
        <v>1.8</v>
      </c>
      <c r="P80">
        <v>2</v>
      </c>
      <c r="Q80">
        <v>1650</v>
      </c>
      <c r="R80">
        <v>8.6263269000000004E-2</v>
      </c>
      <c r="S80" t="s">
        <v>198</v>
      </c>
      <c r="Y80" t="s">
        <v>199</v>
      </c>
    </row>
    <row r="81" spans="1:25">
      <c r="A81" t="s">
        <v>260</v>
      </c>
      <c r="B81" s="113">
        <v>43627</v>
      </c>
      <c r="C81" t="s">
        <v>162</v>
      </c>
      <c r="D81" t="s">
        <v>187</v>
      </c>
      <c r="E81">
        <v>44</v>
      </c>
      <c r="F81">
        <v>717</v>
      </c>
      <c r="G81" t="s">
        <v>147</v>
      </c>
      <c r="H81">
        <v>107289.25290000001</v>
      </c>
      <c r="I81">
        <v>4866103</v>
      </c>
      <c r="J81" t="s">
        <v>148</v>
      </c>
      <c r="K81" t="s">
        <v>148</v>
      </c>
      <c r="L81">
        <v>7.5</v>
      </c>
      <c r="M81" t="s">
        <v>151</v>
      </c>
      <c r="N81">
        <v>5</v>
      </c>
      <c r="O81">
        <v>11.2</v>
      </c>
      <c r="P81">
        <v>2</v>
      </c>
      <c r="Q81">
        <v>800</v>
      </c>
      <c r="R81">
        <v>7.3562875999999999E-2</v>
      </c>
      <c r="S81" t="s">
        <v>150</v>
      </c>
      <c r="T81">
        <v>16</v>
      </c>
      <c r="U81">
        <v>0</v>
      </c>
      <c r="V81">
        <v>16</v>
      </c>
      <c r="W81">
        <v>0</v>
      </c>
      <c r="X81" t="s">
        <v>149</v>
      </c>
      <c r="Y81" t="s">
        <v>157</v>
      </c>
    </row>
    <row r="82" spans="1:25">
      <c r="A82" t="s">
        <v>261</v>
      </c>
      <c r="B82" s="113">
        <v>43628</v>
      </c>
      <c r="C82" t="s">
        <v>145</v>
      </c>
      <c r="D82" t="s">
        <v>213</v>
      </c>
      <c r="E82">
        <v>50</v>
      </c>
      <c r="F82">
        <v>576</v>
      </c>
      <c r="G82" t="s">
        <v>155</v>
      </c>
      <c r="H82">
        <v>55301.01614</v>
      </c>
      <c r="I82">
        <v>6807811</v>
      </c>
      <c r="J82" t="s">
        <v>148</v>
      </c>
      <c r="K82" t="s">
        <v>148</v>
      </c>
      <c r="L82">
        <v>1.9</v>
      </c>
      <c r="M82" t="s">
        <v>149</v>
      </c>
      <c r="N82">
        <v>3</v>
      </c>
      <c r="O82">
        <v>6.8</v>
      </c>
      <c r="P82">
        <v>3</v>
      </c>
      <c r="Q82">
        <v>800</v>
      </c>
      <c r="R82">
        <v>0.231509825</v>
      </c>
      <c r="S82" t="s">
        <v>150</v>
      </c>
      <c r="T82">
        <v>13</v>
      </c>
      <c r="U82">
        <v>0</v>
      </c>
      <c r="V82">
        <v>13</v>
      </c>
      <c r="W82">
        <v>0</v>
      </c>
      <c r="X82" t="s">
        <v>151</v>
      </c>
      <c r="Y82" t="s">
        <v>152</v>
      </c>
    </row>
    <row r="83" spans="1:25">
      <c r="A83" t="s">
        <v>262</v>
      </c>
      <c r="B83" s="113">
        <v>43629</v>
      </c>
      <c r="C83" t="s">
        <v>159</v>
      </c>
      <c r="D83" t="s">
        <v>160</v>
      </c>
      <c r="E83">
        <v>30</v>
      </c>
      <c r="F83">
        <v>778</v>
      </c>
      <c r="G83" t="s">
        <v>169</v>
      </c>
      <c r="H83">
        <v>83233.355330000006</v>
      </c>
      <c r="I83">
        <v>3650009</v>
      </c>
      <c r="J83" t="s">
        <v>156</v>
      </c>
      <c r="K83" t="s">
        <v>156</v>
      </c>
      <c r="L83">
        <v>21.2</v>
      </c>
      <c r="M83" t="s">
        <v>149</v>
      </c>
      <c r="N83">
        <v>2</v>
      </c>
      <c r="O83">
        <v>13.3</v>
      </c>
      <c r="P83">
        <v>3</v>
      </c>
      <c r="Q83">
        <v>1200</v>
      </c>
      <c r="R83">
        <v>0.38354275500000001</v>
      </c>
      <c r="S83" t="s">
        <v>150</v>
      </c>
      <c r="T83">
        <v>20</v>
      </c>
      <c r="U83">
        <v>0</v>
      </c>
      <c r="V83">
        <v>20</v>
      </c>
      <c r="W83">
        <v>0</v>
      </c>
      <c r="X83" t="s">
        <v>149</v>
      </c>
      <c r="Y83" t="s">
        <v>157</v>
      </c>
    </row>
    <row r="84" spans="1:25">
      <c r="A84" t="s">
        <v>263</v>
      </c>
      <c r="B84" s="113">
        <v>43629</v>
      </c>
      <c r="C84" t="s">
        <v>159</v>
      </c>
      <c r="D84" t="s">
        <v>168</v>
      </c>
      <c r="E84">
        <v>26</v>
      </c>
      <c r="F84">
        <v>591</v>
      </c>
      <c r="G84" t="s">
        <v>176</v>
      </c>
      <c r="H84">
        <v>17469.70451</v>
      </c>
      <c r="I84">
        <v>4645528</v>
      </c>
      <c r="J84" t="s">
        <v>183</v>
      </c>
      <c r="K84" t="s">
        <v>183</v>
      </c>
      <c r="L84">
        <v>1.5</v>
      </c>
      <c r="M84" t="s">
        <v>149</v>
      </c>
      <c r="N84">
        <v>1</v>
      </c>
      <c r="O84">
        <v>1.2</v>
      </c>
      <c r="P84">
        <v>2</v>
      </c>
      <c r="Q84">
        <v>1250</v>
      </c>
      <c r="R84">
        <v>0.52577792000000001</v>
      </c>
      <c r="S84" t="s">
        <v>198</v>
      </c>
      <c r="Y84" t="s">
        <v>199</v>
      </c>
    </row>
    <row r="85" spans="1:25">
      <c r="A85" t="s">
        <v>264</v>
      </c>
      <c r="B85" s="113">
        <v>43630</v>
      </c>
      <c r="C85" t="s">
        <v>159</v>
      </c>
      <c r="D85" t="s">
        <v>209</v>
      </c>
      <c r="E85">
        <v>54</v>
      </c>
      <c r="F85">
        <v>716</v>
      </c>
      <c r="G85" t="s">
        <v>155</v>
      </c>
      <c r="H85">
        <v>79538.002290000004</v>
      </c>
      <c r="I85">
        <v>3237179</v>
      </c>
      <c r="J85" t="s">
        <v>148</v>
      </c>
      <c r="K85" t="s">
        <v>148</v>
      </c>
      <c r="L85">
        <v>0.2</v>
      </c>
      <c r="M85" t="s">
        <v>149</v>
      </c>
      <c r="N85">
        <v>3</v>
      </c>
      <c r="O85">
        <v>6.7</v>
      </c>
      <c r="P85">
        <v>1</v>
      </c>
      <c r="Q85">
        <v>1550</v>
      </c>
      <c r="R85">
        <v>0.65458185999999996</v>
      </c>
      <c r="S85" t="s">
        <v>150</v>
      </c>
      <c r="T85">
        <v>18</v>
      </c>
      <c r="U85">
        <v>1</v>
      </c>
      <c r="V85">
        <v>18</v>
      </c>
      <c r="W85">
        <v>0</v>
      </c>
      <c r="X85" t="s">
        <v>149</v>
      </c>
      <c r="Y85" t="s">
        <v>157</v>
      </c>
    </row>
    <row r="86" spans="1:25">
      <c r="A86" t="s">
        <v>265</v>
      </c>
      <c r="B86" s="113">
        <v>43630</v>
      </c>
      <c r="C86" t="s">
        <v>159</v>
      </c>
      <c r="D86" t="s">
        <v>165</v>
      </c>
      <c r="E86">
        <v>39</v>
      </c>
      <c r="F86">
        <v>710</v>
      </c>
      <c r="G86" t="s">
        <v>169</v>
      </c>
      <c r="H86">
        <v>96277.725120000003</v>
      </c>
      <c r="I86">
        <v>3228486</v>
      </c>
      <c r="J86" t="s">
        <v>221</v>
      </c>
      <c r="K86" t="s">
        <v>221</v>
      </c>
      <c r="L86">
        <v>22.7</v>
      </c>
      <c r="M86" t="s">
        <v>149</v>
      </c>
      <c r="N86">
        <v>2</v>
      </c>
      <c r="O86">
        <v>6.7</v>
      </c>
      <c r="P86">
        <v>2</v>
      </c>
      <c r="Q86">
        <v>1500</v>
      </c>
      <c r="R86">
        <v>0.76666422199999995</v>
      </c>
      <c r="S86" t="s">
        <v>150</v>
      </c>
      <c r="T86">
        <v>20</v>
      </c>
      <c r="U86">
        <v>0</v>
      </c>
      <c r="V86">
        <v>20</v>
      </c>
      <c r="W86">
        <v>0</v>
      </c>
      <c r="X86" t="s">
        <v>149</v>
      </c>
      <c r="Y86" t="s">
        <v>157</v>
      </c>
    </row>
    <row r="87" spans="1:25">
      <c r="A87" t="s">
        <v>266</v>
      </c>
      <c r="B87" s="113">
        <v>43634</v>
      </c>
      <c r="C87" t="s">
        <v>162</v>
      </c>
      <c r="D87" t="s">
        <v>179</v>
      </c>
      <c r="E87">
        <v>37</v>
      </c>
      <c r="F87">
        <v>770</v>
      </c>
      <c r="G87" t="s">
        <v>169</v>
      </c>
      <c r="H87">
        <v>78261.605689999997</v>
      </c>
      <c r="I87">
        <v>5513718</v>
      </c>
      <c r="J87" t="s">
        <v>221</v>
      </c>
      <c r="K87" t="s">
        <v>221</v>
      </c>
      <c r="L87">
        <v>5.0999999999999996</v>
      </c>
      <c r="M87" t="s">
        <v>149</v>
      </c>
      <c r="N87">
        <v>1</v>
      </c>
      <c r="O87">
        <v>3</v>
      </c>
      <c r="P87">
        <v>2</v>
      </c>
      <c r="Q87">
        <v>1050</v>
      </c>
      <c r="R87">
        <v>0.859161815</v>
      </c>
      <c r="S87" t="s">
        <v>150</v>
      </c>
      <c r="T87">
        <v>13</v>
      </c>
      <c r="U87">
        <v>0</v>
      </c>
      <c r="V87">
        <v>13</v>
      </c>
      <c r="W87">
        <v>0</v>
      </c>
      <c r="X87" t="s">
        <v>149</v>
      </c>
      <c r="Y87" t="s">
        <v>157</v>
      </c>
    </row>
    <row r="88" spans="1:25">
      <c r="A88" t="s">
        <v>267</v>
      </c>
      <c r="B88" s="113">
        <v>43637</v>
      </c>
      <c r="C88" t="s">
        <v>162</v>
      </c>
      <c r="D88" t="s">
        <v>163</v>
      </c>
      <c r="E88">
        <v>29</v>
      </c>
      <c r="F88">
        <v>710</v>
      </c>
      <c r="G88" t="s">
        <v>155</v>
      </c>
      <c r="H88">
        <v>57581.661870000004</v>
      </c>
      <c r="I88">
        <v>4008426</v>
      </c>
      <c r="J88" t="s">
        <v>183</v>
      </c>
      <c r="K88" t="s">
        <v>183</v>
      </c>
      <c r="L88">
        <v>14.1</v>
      </c>
      <c r="M88" t="s">
        <v>149</v>
      </c>
      <c r="N88">
        <v>3</v>
      </c>
      <c r="O88">
        <v>2.7</v>
      </c>
      <c r="P88">
        <v>3</v>
      </c>
      <c r="Q88">
        <v>1100</v>
      </c>
      <c r="R88">
        <v>0.92971174700000003</v>
      </c>
      <c r="S88" t="s">
        <v>150</v>
      </c>
      <c r="T88">
        <v>23</v>
      </c>
      <c r="U88">
        <v>1</v>
      </c>
      <c r="V88">
        <v>23</v>
      </c>
      <c r="W88">
        <v>0</v>
      </c>
      <c r="X88" t="s">
        <v>149</v>
      </c>
      <c r="Y88" t="s">
        <v>157</v>
      </c>
    </row>
    <row r="89" spans="1:25">
      <c r="A89" t="s">
        <v>268</v>
      </c>
      <c r="B89" s="113">
        <v>43639</v>
      </c>
      <c r="C89" t="s">
        <v>159</v>
      </c>
      <c r="D89" t="s">
        <v>165</v>
      </c>
      <c r="E89">
        <v>32</v>
      </c>
      <c r="F89">
        <v>709</v>
      </c>
      <c r="G89" t="s">
        <v>176</v>
      </c>
      <c r="H89">
        <v>70189.253079999995</v>
      </c>
      <c r="I89">
        <v>6780440</v>
      </c>
      <c r="J89" t="s">
        <v>148</v>
      </c>
      <c r="K89" t="s">
        <v>148</v>
      </c>
      <c r="L89">
        <v>3.7</v>
      </c>
      <c r="M89" t="s">
        <v>149</v>
      </c>
      <c r="N89">
        <v>3</v>
      </c>
      <c r="O89">
        <v>1.4</v>
      </c>
      <c r="P89">
        <v>1</v>
      </c>
      <c r="Q89">
        <v>1250</v>
      </c>
      <c r="R89">
        <v>0.97651178900000002</v>
      </c>
      <c r="S89" t="s">
        <v>150</v>
      </c>
      <c r="T89">
        <v>12</v>
      </c>
      <c r="U89">
        <v>0</v>
      </c>
      <c r="V89">
        <v>12</v>
      </c>
      <c r="W89">
        <v>0</v>
      </c>
      <c r="X89" t="s">
        <v>149</v>
      </c>
      <c r="Y89" t="s">
        <v>157</v>
      </c>
    </row>
    <row r="90" spans="1:25">
      <c r="A90" t="s">
        <v>269</v>
      </c>
      <c r="B90" s="113">
        <v>43643</v>
      </c>
      <c r="C90" t="s">
        <v>162</v>
      </c>
      <c r="D90" t="s">
        <v>193</v>
      </c>
      <c r="E90">
        <v>43</v>
      </c>
      <c r="F90">
        <v>684</v>
      </c>
      <c r="G90" t="s">
        <v>155</v>
      </c>
      <c r="H90">
        <v>31490.81666</v>
      </c>
      <c r="I90">
        <v>5280975</v>
      </c>
      <c r="J90" t="s">
        <v>148</v>
      </c>
      <c r="K90" t="s">
        <v>148</v>
      </c>
      <c r="L90">
        <v>0.1</v>
      </c>
      <c r="M90" t="s">
        <v>149</v>
      </c>
      <c r="N90">
        <v>5</v>
      </c>
      <c r="O90">
        <v>3.4</v>
      </c>
      <c r="P90">
        <v>3</v>
      </c>
      <c r="Q90">
        <v>950</v>
      </c>
      <c r="R90">
        <v>0.99836641500000001</v>
      </c>
      <c r="S90" t="s">
        <v>150</v>
      </c>
      <c r="T90">
        <v>20</v>
      </c>
      <c r="U90">
        <v>0</v>
      </c>
      <c r="V90">
        <v>20</v>
      </c>
      <c r="W90">
        <v>0</v>
      </c>
      <c r="X90" t="s">
        <v>151</v>
      </c>
      <c r="Y90" t="s">
        <v>152</v>
      </c>
    </row>
    <row r="91" spans="1:25">
      <c r="A91" t="s">
        <v>270</v>
      </c>
      <c r="B91" s="113">
        <v>43643</v>
      </c>
      <c r="C91" t="s">
        <v>162</v>
      </c>
      <c r="D91" t="s">
        <v>163</v>
      </c>
      <c r="E91">
        <v>40</v>
      </c>
      <c r="F91">
        <v>719</v>
      </c>
      <c r="G91" t="s">
        <v>176</v>
      </c>
      <c r="H91">
        <v>34553.353239999997</v>
      </c>
      <c r="I91">
        <v>2718747</v>
      </c>
      <c r="J91" t="s">
        <v>148</v>
      </c>
      <c r="K91" t="s">
        <v>148</v>
      </c>
      <c r="L91">
        <v>3.6</v>
      </c>
      <c r="M91" t="s">
        <v>149</v>
      </c>
      <c r="N91">
        <v>3</v>
      </c>
      <c r="O91">
        <v>3</v>
      </c>
      <c r="P91">
        <v>2</v>
      </c>
      <c r="Q91">
        <v>800</v>
      </c>
      <c r="R91">
        <v>0.99471733900000003</v>
      </c>
      <c r="S91" t="s">
        <v>150</v>
      </c>
      <c r="T91">
        <v>10</v>
      </c>
      <c r="U91">
        <v>0</v>
      </c>
      <c r="V91">
        <v>10</v>
      </c>
      <c r="W91">
        <v>0</v>
      </c>
      <c r="X91" t="s">
        <v>151</v>
      </c>
      <c r="Y91" t="s">
        <v>152</v>
      </c>
    </row>
    <row r="92" spans="1:25">
      <c r="A92" t="s">
        <v>271</v>
      </c>
      <c r="B92" s="113">
        <v>43644</v>
      </c>
      <c r="C92" t="s">
        <v>162</v>
      </c>
      <c r="D92" t="s">
        <v>193</v>
      </c>
      <c r="E92">
        <v>37</v>
      </c>
      <c r="F92">
        <v>581</v>
      </c>
      <c r="G92" t="s">
        <v>169</v>
      </c>
      <c r="H92">
        <v>89517.337150000007</v>
      </c>
      <c r="I92">
        <v>5178397</v>
      </c>
      <c r="J92" t="s">
        <v>183</v>
      </c>
      <c r="K92" t="s">
        <v>183</v>
      </c>
      <c r="L92">
        <v>5.0999999999999996</v>
      </c>
      <c r="M92" t="s">
        <v>149</v>
      </c>
      <c r="N92">
        <v>3</v>
      </c>
      <c r="O92">
        <v>3.7</v>
      </c>
      <c r="P92">
        <v>3</v>
      </c>
      <c r="Q92">
        <v>1350</v>
      </c>
      <c r="R92">
        <v>0.96565777699999999</v>
      </c>
      <c r="S92" t="s">
        <v>150</v>
      </c>
      <c r="T92">
        <v>16</v>
      </c>
      <c r="U92">
        <v>1</v>
      </c>
      <c r="V92">
        <v>16</v>
      </c>
      <c r="W92">
        <v>0</v>
      </c>
      <c r="X92" t="s">
        <v>149</v>
      </c>
      <c r="Y92" t="s">
        <v>157</v>
      </c>
    </row>
    <row r="93" spans="1:25">
      <c r="A93" t="s">
        <v>272</v>
      </c>
      <c r="B93" s="113">
        <v>43646</v>
      </c>
      <c r="C93" t="s">
        <v>159</v>
      </c>
      <c r="D93" t="s">
        <v>160</v>
      </c>
      <c r="E93">
        <v>55</v>
      </c>
      <c r="F93">
        <v>810</v>
      </c>
      <c r="G93" t="s">
        <v>169</v>
      </c>
      <c r="H93">
        <v>39411.943529999997</v>
      </c>
      <c r="I93">
        <v>3111935</v>
      </c>
      <c r="J93" t="s">
        <v>148</v>
      </c>
      <c r="K93" t="s">
        <v>148</v>
      </c>
      <c r="L93">
        <v>2</v>
      </c>
      <c r="M93" t="s">
        <v>149</v>
      </c>
      <c r="N93">
        <v>0</v>
      </c>
      <c r="O93">
        <v>11</v>
      </c>
      <c r="P93">
        <v>4</v>
      </c>
      <c r="Q93">
        <v>1300</v>
      </c>
      <c r="R93">
        <v>0.91193006799999998</v>
      </c>
      <c r="S93" t="s">
        <v>150</v>
      </c>
      <c r="T93">
        <v>20</v>
      </c>
      <c r="U93">
        <v>0</v>
      </c>
      <c r="V93">
        <v>20</v>
      </c>
      <c r="W93">
        <v>0</v>
      </c>
      <c r="X93" t="s">
        <v>149</v>
      </c>
      <c r="Y93" t="s">
        <v>157</v>
      </c>
    </row>
    <row r="94" spans="1:25">
      <c r="A94" t="s">
        <v>273</v>
      </c>
      <c r="B94" s="113">
        <v>43647</v>
      </c>
      <c r="C94" t="s">
        <v>145</v>
      </c>
      <c r="D94" t="s">
        <v>213</v>
      </c>
      <c r="E94">
        <v>35</v>
      </c>
      <c r="F94">
        <v>755</v>
      </c>
      <c r="G94" t="s">
        <v>155</v>
      </c>
      <c r="H94">
        <v>41418.451410000001</v>
      </c>
      <c r="I94">
        <v>41418.451410000001</v>
      </c>
      <c r="J94" t="s">
        <v>148</v>
      </c>
      <c r="K94" t="s">
        <v>166</v>
      </c>
      <c r="L94">
        <v>3.1</v>
      </c>
      <c r="M94" t="s">
        <v>149</v>
      </c>
      <c r="N94">
        <v>2</v>
      </c>
      <c r="O94">
        <v>0.1</v>
      </c>
      <c r="P94">
        <v>1</v>
      </c>
      <c r="Q94">
        <v>1300</v>
      </c>
      <c r="R94">
        <v>0.83490671100000002</v>
      </c>
      <c r="S94" t="s">
        <v>150</v>
      </c>
      <c r="T94">
        <v>20</v>
      </c>
      <c r="U94">
        <v>0</v>
      </c>
      <c r="V94">
        <v>20</v>
      </c>
      <c r="W94">
        <v>0</v>
      </c>
      <c r="X94" t="s">
        <v>149</v>
      </c>
      <c r="Y94" t="s">
        <v>157</v>
      </c>
    </row>
    <row r="95" spans="1:25">
      <c r="A95" t="s">
        <v>274</v>
      </c>
      <c r="B95" s="113">
        <v>43651</v>
      </c>
      <c r="C95" t="s">
        <v>145</v>
      </c>
      <c r="D95" t="s">
        <v>213</v>
      </c>
      <c r="E95">
        <v>41</v>
      </c>
      <c r="F95">
        <v>664</v>
      </c>
      <c r="G95" t="s">
        <v>155</v>
      </c>
      <c r="H95">
        <v>35546.171249999999</v>
      </c>
      <c r="I95">
        <v>35546.171249999999</v>
      </c>
      <c r="J95" t="s">
        <v>148</v>
      </c>
      <c r="K95" t="s">
        <v>148</v>
      </c>
      <c r="L95">
        <v>2.8</v>
      </c>
      <c r="M95" t="s">
        <v>149</v>
      </c>
      <c r="N95">
        <v>0</v>
      </c>
      <c r="O95">
        <v>3.5</v>
      </c>
      <c r="P95">
        <v>2</v>
      </c>
      <c r="Q95">
        <v>800</v>
      </c>
      <c r="R95">
        <v>0.73655530000000002</v>
      </c>
      <c r="S95" t="s">
        <v>150</v>
      </c>
      <c r="T95">
        <v>7</v>
      </c>
      <c r="U95">
        <v>0</v>
      </c>
      <c r="V95">
        <v>7</v>
      </c>
      <c r="W95">
        <v>0</v>
      </c>
      <c r="X95" t="s">
        <v>151</v>
      </c>
      <c r="Y95" t="s">
        <v>152</v>
      </c>
    </row>
    <row r="96" spans="1:25">
      <c r="A96" t="s">
        <v>275</v>
      </c>
      <c r="B96" s="113">
        <v>43652</v>
      </c>
      <c r="C96" t="s">
        <v>159</v>
      </c>
      <c r="D96" t="s">
        <v>168</v>
      </c>
      <c r="E96">
        <v>52</v>
      </c>
      <c r="F96">
        <v>582</v>
      </c>
      <c r="G96" t="s">
        <v>155</v>
      </c>
      <c r="H96">
        <v>64722.110339999999</v>
      </c>
      <c r="I96">
        <v>64722.110339999999</v>
      </c>
      <c r="J96" t="s">
        <v>249</v>
      </c>
      <c r="K96" t="s">
        <v>249</v>
      </c>
      <c r="L96">
        <v>0.5</v>
      </c>
      <c r="M96" t="s">
        <v>149</v>
      </c>
      <c r="N96">
        <v>4</v>
      </c>
      <c r="O96">
        <v>0.1</v>
      </c>
      <c r="P96">
        <v>3</v>
      </c>
      <c r="Q96">
        <v>1050</v>
      </c>
      <c r="R96">
        <v>0.61938826499999999</v>
      </c>
      <c r="S96" t="s">
        <v>198</v>
      </c>
      <c r="Y96" t="s">
        <v>199</v>
      </c>
    </row>
    <row r="97" spans="1:25">
      <c r="A97" t="s">
        <v>276</v>
      </c>
      <c r="B97" s="113">
        <v>43652</v>
      </c>
      <c r="C97" t="s">
        <v>162</v>
      </c>
      <c r="D97" t="s">
        <v>179</v>
      </c>
      <c r="E97">
        <v>56</v>
      </c>
      <c r="F97">
        <v>682</v>
      </c>
      <c r="G97" t="s">
        <v>147</v>
      </c>
      <c r="H97">
        <v>33595.469539999998</v>
      </c>
      <c r="I97">
        <v>33595.469539999998</v>
      </c>
      <c r="J97" t="s">
        <v>148</v>
      </c>
      <c r="K97" t="s">
        <v>148</v>
      </c>
      <c r="L97">
        <v>9.6</v>
      </c>
      <c r="M97" t="s">
        <v>149</v>
      </c>
      <c r="N97">
        <v>3</v>
      </c>
      <c r="O97">
        <v>7.4</v>
      </c>
      <c r="P97">
        <v>3</v>
      </c>
      <c r="Q97">
        <v>1150</v>
      </c>
      <c r="R97">
        <v>0.486398689</v>
      </c>
      <c r="S97" t="s">
        <v>150</v>
      </c>
      <c r="T97">
        <v>16</v>
      </c>
      <c r="U97">
        <v>2</v>
      </c>
      <c r="V97">
        <v>16</v>
      </c>
      <c r="W97">
        <v>0</v>
      </c>
      <c r="X97" t="s">
        <v>149</v>
      </c>
      <c r="Y97" t="s">
        <v>157</v>
      </c>
    </row>
    <row r="98" spans="1:25">
      <c r="A98" t="s">
        <v>277</v>
      </c>
      <c r="B98" s="113">
        <v>43653</v>
      </c>
      <c r="C98" t="s">
        <v>159</v>
      </c>
      <c r="D98" t="s">
        <v>197</v>
      </c>
      <c r="E98">
        <v>37</v>
      </c>
      <c r="F98">
        <v>535</v>
      </c>
      <c r="G98" t="s">
        <v>169</v>
      </c>
      <c r="H98">
        <v>64525.084289999999</v>
      </c>
      <c r="I98">
        <v>64525.084289999999</v>
      </c>
      <c r="J98" t="s">
        <v>148</v>
      </c>
      <c r="K98" t="s">
        <v>148</v>
      </c>
      <c r="L98">
        <v>6.9</v>
      </c>
      <c r="M98" t="s">
        <v>149</v>
      </c>
      <c r="N98">
        <v>3</v>
      </c>
      <c r="O98">
        <v>2.2999999999999998</v>
      </c>
      <c r="P98">
        <v>3</v>
      </c>
      <c r="Q98">
        <v>2050</v>
      </c>
      <c r="R98">
        <v>0.34098384700000001</v>
      </c>
      <c r="S98" t="s">
        <v>150</v>
      </c>
      <c r="T98">
        <v>9</v>
      </c>
      <c r="U98">
        <v>1</v>
      </c>
      <c r="V98">
        <v>9</v>
      </c>
      <c r="W98">
        <v>0</v>
      </c>
      <c r="X98" t="s">
        <v>151</v>
      </c>
      <c r="Y98" t="s">
        <v>152</v>
      </c>
    </row>
    <row r="99" spans="1:25">
      <c r="A99" t="s">
        <v>278</v>
      </c>
      <c r="B99" s="113">
        <v>43654</v>
      </c>
      <c r="C99" t="s">
        <v>162</v>
      </c>
      <c r="D99" t="s">
        <v>190</v>
      </c>
      <c r="E99">
        <v>46</v>
      </c>
      <c r="F99">
        <v>629</v>
      </c>
      <c r="G99" t="s">
        <v>169</v>
      </c>
      <c r="H99">
        <v>25107.928660000001</v>
      </c>
      <c r="I99">
        <v>25107.928660000001</v>
      </c>
      <c r="J99" t="s">
        <v>148</v>
      </c>
      <c r="K99" t="s">
        <v>148</v>
      </c>
      <c r="L99">
        <v>1.3</v>
      </c>
      <c r="M99" t="s">
        <v>149</v>
      </c>
      <c r="N99">
        <v>1</v>
      </c>
      <c r="O99">
        <v>7</v>
      </c>
      <c r="P99">
        <v>1</v>
      </c>
      <c r="Q99">
        <v>1350</v>
      </c>
      <c r="R99">
        <v>0.18685842499999999</v>
      </c>
      <c r="S99" t="s">
        <v>150</v>
      </c>
      <c r="T99">
        <v>16</v>
      </c>
      <c r="U99">
        <v>0</v>
      </c>
      <c r="V99">
        <v>16</v>
      </c>
      <c r="W99">
        <v>0</v>
      </c>
      <c r="X99" t="s">
        <v>149</v>
      </c>
      <c r="Y99" t="s">
        <v>157</v>
      </c>
    </row>
    <row r="100" spans="1:25">
      <c r="A100" t="s">
        <v>279</v>
      </c>
      <c r="B100" s="113">
        <v>43655</v>
      </c>
      <c r="C100" t="s">
        <v>145</v>
      </c>
      <c r="D100" t="s">
        <v>280</v>
      </c>
      <c r="E100">
        <v>45</v>
      </c>
      <c r="F100">
        <v>419</v>
      </c>
      <c r="G100" t="s">
        <v>147</v>
      </c>
      <c r="H100">
        <v>37763.712180000002</v>
      </c>
      <c r="I100">
        <v>37763.712180000002</v>
      </c>
      <c r="J100" t="s">
        <v>170</v>
      </c>
      <c r="K100" t="s">
        <v>170</v>
      </c>
      <c r="L100">
        <v>2.4</v>
      </c>
      <c r="M100" t="s">
        <v>149</v>
      </c>
      <c r="N100">
        <v>8</v>
      </c>
      <c r="O100">
        <v>19</v>
      </c>
      <c r="P100">
        <v>2</v>
      </c>
      <c r="Q100">
        <v>1400</v>
      </c>
      <c r="R100">
        <v>2.7959623999999999E-2</v>
      </c>
      <c r="S100" t="s">
        <v>150</v>
      </c>
      <c r="T100">
        <v>22</v>
      </c>
      <c r="U100">
        <v>1</v>
      </c>
      <c r="V100">
        <v>22</v>
      </c>
      <c r="W100">
        <v>0</v>
      </c>
      <c r="X100" t="s">
        <v>151</v>
      </c>
      <c r="Y100" t="s">
        <v>152</v>
      </c>
    </row>
    <row r="101" spans="1:25">
      <c r="A101" t="s">
        <v>281</v>
      </c>
      <c r="B101" s="113">
        <v>43658</v>
      </c>
      <c r="C101" t="s">
        <v>159</v>
      </c>
      <c r="D101" t="s">
        <v>160</v>
      </c>
      <c r="E101">
        <v>62</v>
      </c>
      <c r="F101">
        <v>736</v>
      </c>
      <c r="G101" t="s">
        <v>176</v>
      </c>
      <c r="H101">
        <v>42976.100539999999</v>
      </c>
      <c r="I101">
        <v>42976.100539999999</v>
      </c>
      <c r="J101" t="s">
        <v>221</v>
      </c>
      <c r="K101" t="s">
        <v>221</v>
      </c>
      <c r="L101">
        <v>4.0999999999999996</v>
      </c>
      <c r="M101" t="s">
        <v>149</v>
      </c>
      <c r="N101">
        <v>2</v>
      </c>
      <c r="O101">
        <v>9.6</v>
      </c>
      <c r="P101">
        <v>3</v>
      </c>
      <c r="Q101">
        <v>1050</v>
      </c>
      <c r="R101">
        <v>0.13165341799999999</v>
      </c>
      <c r="S101" t="s">
        <v>150</v>
      </c>
      <c r="T101">
        <v>22</v>
      </c>
      <c r="U101">
        <v>0</v>
      </c>
      <c r="V101">
        <v>22</v>
      </c>
      <c r="W101">
        <v>0</v>
      </c>
      <c r="X101" t="s">
        <v>149</v>
      </c>
      <c r="Y101" t="s">
        <v>157</v>
      </c>
    </row>
    <row r="102" spans="1:25">
      <c r="A102" t="s">
        <v>282</v>
      </c>
      <c r="B102" s="113">
        <v>43666</v>
      </c>
      <c r="C102" t="s">
        <v>162</v>
      </c>
      <c r="D102" t="s">
        <v>190</v>
      </c>
      <c r="E102">
        <v>27</v>
      </c>
      <c r="F102">
        <v>577</v>
      </c>
      <c r="G102" t="s">
        <v>147</v>
      </c>
      <c r="H102">
        <v>42579.92527</v>
      </c>
      <c r="I102">
        <v>42579.92527</v>
      </c>
      <c r="J102" t="s">
        <v>148</v>
      </c>
      <c r="K102" t="s">
        <v>148</v>
      </c>
      <c r="L102">
        <v>8.1</v>
      </c>
      <c r="M102" t="s">
        <v>149</v>
      </c>
      <c r="N102">
        <v>3</v>
      </c>
      <c r="O102">
        <v>6.7</v>
      </c>
      <c r="P102">
        <v>2</v>
      </c>
      <c r="Q102">
        <v>1050</v>
      </c>
      <c r="R102">
        <v>0.28790331699999999</v>
      </c>
      <c r="S102" t="s">
        <v>150</v>
      </c>
      <c r="T102">
        <v>20</v>
      </c>
      <c r="U102">
        <v>0</v>
      </c>
      <c r="V102">
        <v>20</v>
      </c>
      <c r="W102">
        <v>0</v>
      </c>
      <c r="X102" t="s">
        <v>151</v>
      </c>
      <c r="Y102" t="s">
        <v>152</v>
      </c>
    </row>
    <row r="103" spans="1:25">
      <c r="A103" t="s">
        <v>283</v>
      </c>
      <c r="B103" s="113">
        <v>43669</v>
      </c>
      <c r="C103" t="s">
        <v>159</v>
      </c>
      <c r="D103" t="s">
        <v>197</v>
      </c>
      <c r="E103">
        <v>53</v>
      </c>
      <c r="F103">
        <v>729</v>
      </c>
      <c r="G103" t="s">
        <v>169</v>
      </c>
      <c r="H103">
        <v>35896.504910000003</v>
      </c>
      <c r="I103">
        <v>35896.504910000003</v>
      </c>
      <c r="J103" t="s">
        <v>148</v>
      </c>
      <c r="K103" t="s">
        <v>148</v>
      </c>
      <c r="L103">
        <v>3</v>
      </c>
      <c r="M103" t="s">
        <v>149</v>
      </c>
      <c r="N103">
        <v>3</v>
      </c>
      <c r="O103">
        <v>1.6</v>
      </c>
      <c r="P103">
        <v>3</v>
      </c>
      <c r="Q103">
        <v>1500</v>
      </c>
      <c r="R103">
        <v>0.43679859999999998</v>
      </c>
      <c r="S103" t="s">
        <v>150</v>
      </c>
      <c r="T103">
        <v>21</v>
      </c>
      <c r="U103">
        <v>1</v>
      </c>
      <c r="V103">
        <v>21</v>
      </c>
      <c r="W103">
        <v>0</v>
      </c>
      <c r="X103" t="s">
        <v>149</v>
      </c>
      <c r="Y103" t="s">
        <v>157</v>
      </c>
    </row>
    <row r="104" spans="1:25">
      <c r="A104" t="s">
        <v>284</v>
      </c>
      <c r="B104" s="113">
        <v>43671</v>
      </c>
      <c r="C104" t="s">
        <v>162</v>
      </c>
      <c r="D104" t="s">
        <v>163</v>
      </c>
      <c r="E104">
        <v>50</v>
      </c>
      <c r="F104">
        <v>466</v>
      </c>
      <c r="G104" t="s">
        <v>155</v>
      </c>
      <c r="H104">
        <v>42770.481010000003</v>
      </c>
      <c r="I104">
        <v>42770.481010000003</v>
      </c>
      <c r="J104" t="s">
        <v>148</v>
      </c>
      <c r="K104" t="s">
        <v>148</v>
      </c>
      <c r="L104">
        <v>2.5</v>
      </c>
      <c r="M104" t="s">
        <v>149</v>
      </c>
      <c r="N104">
        <v>3</v>
      </c>
      <c r="O104">
        <v>3.2</v>
      </c>
      <c r="P104">
        <v>3</v>
      </c>
      <c r="Q104">
        <v>800</v>
      </c>
      <c r="R104">
        <v>0.57453567400000005</v>
      </c>
      <c r="S104" t="s">
        <v>150</v>
      </c>
      <c r="T104">
        <v>19</v>
      </c>
      <c r="U104">
        <v>0</v>
      </c>
      <c r="V104">
        <v>19</v>
      </c>
      <c r="W104">
        <v>0</v>
      </c>
      <c r="X104" t="s">
        <v>149</v>
      </c>
      <c r="Y104" t="s">
        <v>157</v>
      </c>
    </row>
    <row r="105" spans="1:25">
      <c r="A105" t="s">
        <v>285</v>
      </c>
      <c r="B105" s="113">
        <v>43671</v>
      </c>
      <c r="C105" t="s">
        <v>159</v>
      </c>
      <c r="D105" t="s">
        <v>165</v>
      </c>
      <c r="E105">
        <v>22</v>
      </c>
      <c r="F105">
        <v>742</v>
      </c>
      <c r="G105" t="s">
        <v>176</v>
      </c>
      <c r="H105">
        <v>157455.3468</v>
      </c>
      <c r="I105">
        <v>157455.3468</v>
      </c>
      <c r="J105" t="s">
        <v>148</v>
      </c>
      <c r="K105" t="s">
        <v>148</v>
      </c>
      <c r="L105">
        <v>2.6</v>
      </c>
      <c r="M105" t="s">
        <v>149</v>
      </c>
      <c r="N105">
        <v>4</v>
      </c>
      <c r="O105">
        <v>4.7</v>
      </c>
      <c r="P105">
        <v>3</v>
      </c>
      <c r="Q105">
        <v>1200</v>
      </c>
      <c r="R105">
        <v>0.69759598499999997</v>
      </c>
      <c r="S105" t="s">
        <v>150</v>
      </c>
      <c r="T105">
        <v>17</v>
      </c>
      <c r="U105">
        <v>1</v>
      </c>
      <c r="V105">
        <v>17</v>
      </c>
      <c r="W105">
        <v>0</v>
      </c>
      <c r="X105" t="s">
        <v>151</v>
      </c>
      <c r="Y105" t="s">
        <v>152</v>
      </c>
    </row>
    <row r="106" spans="1:25">
      <c r="A106" t="s">
        <v>286</v>
      </c>
      <c r="B106" s="113">
        <v>43671</v>
      </c>
      <c r="C106" t="s">
        <v>145</v>
      </c>
      <c r="D106" t="s">
        <v>280</v>
      </c>
      <c r="E106">
        <v>38</v>
      </c>
      <c r="F106">
        <v>801</v>
      </c>
      <c r="G106" t="s">
        <v>155</v>
      </c>
      <c r="H106">
        <v>38480.33165</v>
      </c>
      <c r="J106" t="s">
        <v>148</v>
      </c>
      <c r="K106" t="s">
        <v>148</v>
      </c>
      <c r="L106">
        <v>7.1</v>
      </c>
      <c r="M106" t="s">
        <v>151</v>
      </c>
      <c r="N106">
        <v>3</v>
      </c>
      <c r="O106">
        <v>1.8</v>
      </c>
      <c r="P106">
        <v>1</v>
      </c>
      <c r="Q106">
        <v>1200</v>
      </c>
      <c r="R106">
        <v>0.80283590500000002</v>
      </c>
      <c r="S106" t="s">
        <v>150</v>
      </c>
      <c r="T106">
        <v>21</v>
      </c>
      <c r="U106">
        <v>0</v>
      </c>
      <c r="V106">
        <v>21</v>
      </c>
      <c r="W106">
        <v>0</v>
      </c>
      <c r="X106" t="s">
        <v>149</v>
      </c>
      <c r="Y106" t="s">
        <v>157</v>
      </c>
    </row>
    <row r="107" spans="1:25">
      <c r="A107" t="s">
        <v>287</v>
      </c>
      <c r="B107" s="113">
        <v>43673</v>
      </c>
      <c r="C107" t="s">
        <v>162</v>
      </c>
      <c r="D107" t="s">
        <v>190</v>
      </c>
      <c r="E107">
        <v>47</v>
      </c>
      <c r="F107">
        <v>665</v>
      </c>
      <c r="G107" t="s">
        <v>176</v>
      </c>
      <c r="H107">
        <v>23687.289000000001</v>
      </c>
      <c r="I107">
        <v>23687.289000000001</v>
      </c>
      <c r="J107" t="s">
        <v>148</v>
      </c>
      <c r="K107" t="s">
        <v>166</v>
      </c>
      <c r="L107">
        <v>0.4</v>
      </c>
      <c r="M107" t="s">
        <v>149</v>
      </c>
      <c r="N107">
        <v>2</v>
      </c>
      <c r="O107">
        <v>0.2</v>
      </c>
      <c r="P107">
        <v>4</v>
      </c>
      <c r="Q107">
        <v>1300</v>
      </c>
      <c r="R107">
        <v>0.88756703400000003</v>
      </c>
      <c r="S107" t="s">
        <v>198</v>
      </c>
      <c r="Y107" t="s">
        <v>199</v>
      </c>
    </row>
    <row r="108" spans="1:25">
      <c r="A108" t="s">
        <v>288</v>
      </c>
      <c r="B108" s="113">
        <v>43673</v>
      </c>
      <c r="C108" t="s">
        <v>159</v>
      </c>
      <c r="D108" t="s">
        <v>168</v>
      </c>
      <c r="E108">
        <v>44</v>
      </c>
      <c r="F108">
        <v>698</v>
      </c>
      <c r="G108" t="s">
        <v>176</v>
      </c>
      <c r="H108">
        <v>10300.292579999999</v>
      </c>
      <c r="I108">
        <v>10300.292579999999</v>
      </c>
      <c r="J108" t="s">
        <v>170</v>
      </c>
      <c r="K108" t="s">
        <v>166</v>
      </c>
      <c r="L108">
        <v>0.4</v>
      </c>
      <c r="M108" t="s">
        <v>149</v>
      </c>
      <c r="N108">
        <v>0</v>
      </c>
      <c r="O108">
        <v>3.3</v>
      </c>
      <c r="P108">
        <v>3</v>
      </c>
      <c r="Q108">
        <v>900</v>
      </c>
      <c r="R108">
        <v>0.94962487799999995</v>
      </c>
      <c r="S108" t="s">
        <v>198</v>
      </c>
      <c r="Y108" t="s">
        <v>199</v>
      </c>
    </row>
    <row r="109" spans="1:25">
      <c r="A109" t="s">
        <v>289</v>
      </c>
      <c r="B109" s="113">
        <v>43674</v>
      </c>
      <c r="C109" t="s">
        <v>162</v>
      </c>
      <c r="D109" t="s">
        <v>163</v>
      </c>
      <c r="E109">
        <v>38</v>
      </c>
      <c r="F109">
        <v>778</v>
      </c>
      <c r="G109" t="s">
        <v>176</v>
      </c>
      <c r="H109">
        <v>84185.47898</v>
      </c>
      <c r="I109">
        <v>84185.47898</v>
      </c>
      <c r="J109" t="s">
        <v>148</v>
      </c>
      <c r="K109" t="s">
        <v>148</v>
      </c>
      <c r="L109">
        <v>3.2</v>
      </c>
      <c r="M109" t="s">
        <v>149</v>
      </c>
      <c r="N109">
        <v>2</v>
      </c>
      <c r="O109">
        <v>2.9</v>
      </c>
      <c r="P109">
        <v>3</v>
      </c>
      <c r="Q109">
        <v>1050</v>
      </c>
      <c r="R109">
        <v>0.98742414300000003</v>
      </c>
      <c r="S109" t="s">
        <v>150</v>
      </c>
      <c r="T109">
        <v>10</v>
      </c>
      <c r="U109">
        <v>0</v>
      </c>
      <c r="V109">
        <v>10</v>
      </c>
      <c r="W109">
        <v>0</v>
      </c>
      <c r="X109" t="s">
        <v>151</v>
      </c>
      <c r="Y109" t="s">
        <v>152</v>
      </c>
    </row>
    <row r="110" spans="1:25">
      <c r="A110" t="s">
        <v>290</v>
      </c>
      <c r="B110" s="113">
        <v>43676</v>
      </c>
      <c r="C110" t="s">
        <v>145</v>
      </c>
      <c r="D110" t="s">
        <v>146</v>
      </c>
      <c r="E110">
        <v>50</v>
      </c>
      <c r="F110">
        <v>723</v>
      </c>
      <c r="G110" t="s">
        <v>176</v>
      </c>
      <c r="H110">
        <v>30264.113949999999</v>
      </c>
      <c r="I110">
        <v>30264.113949999999</v>
      </c>
      <c r="J110" t="s">
        <v>156</v>
      </c>
      <c r="K110" t="s">
        <v>156</v>
      </c>
      <c r="L110">
        <v>1.3</v>
      </c>
      <c r="M110" t="s">
        <v>149</v>
      </c>
      <c r="N110">
        <v>1</v>
      </c>
      <c r="O110">
        <v>30</v>
      </c>
      <c r="P110">
        <v>3</v>
      </c>
      <c r="Q110">
        <v>1150</v>
      </c>
      <c r="R110">
        <v>0.99999923099999999</v>
      </c>
      <c r="S110" t="s">
        <v>150</v>
      </c>
      <c r="T110">
        <v>13</v>
      </c>
      <c r="U110">
        <v>0</v>
      </c>
      <c r="V110">
        <v>13</v>
      </c>
      <c r="W110">
        <v>0</v>
      </c>
      <c r="X110" t="s">
        <v>149</v>
      </c>
      <c r="Y110" t="s">
        <v>157</v>
      </c>
    </row>
    <row r="111" spans="1:25">
      <c r="A111" t="s">
        <v>291</v>
      </c>
      <c r="B111" s="113">
        <v>43676</v>
      </c>
      <c r="C111" t="s">
        <v>159</v>
      </c>
      <c r="D111" t="s">
        <v>168</v>
      </c>
      <c r="E111">
        <v>56</v>
      </c>
      <c r="F111">
        <v>488</v>
      </c>
      <c r="G111" t="s">
        <v>147</v>
      </c>
      <c r="H111">
        <v>84943.726729999995</v>
      </c>
      <c r="I111">
        <v>84943.726729999995</v>
      </c>
      <c r="J111" t="s">
        <v>148</v>
      </c>
      <c r="K111" t="s">
        <v>148</v>
      </c>
      <c r="L111">
        <v>5.9</v>
      </c>
      <c r="M111" t="s">
        <v>151</v>
      </c>
      <c r="N111">
        <v>2</v>
      </c>
      <c r="O111">
        <v>0.9</v>
      </c>
      <c r="P111">
        <v>4</v>
      </c>
      <c r="Q111">
        <v>1900</v>
      </c>
      <c r="R111">
        <v>0.98702890499999996</v>
      </c>
      <c r="S111" t="s">
        <v>198</v>
      </c>
      <c r="Y111" t="s">
        <v>199</v>
      </c>
    </row>
    <row r="112" spans="1:25">
      <c r="A112" t="s">
        <v>292</v>
      </c>
      <c r="B112" s="113">
        <v>43677</v>
      </c>
      <c r="C112" t="s">
        <v>145</v>
      </c>
      <c r="D112" t="s">
        <v>213</v>
      </c>
      <c r="E112">
        <v>40</v>
      </c>
      <c r="F112">
        <v>678</v>
      </c>
      <c r="G112" t="s">
        <v>176</v>
      </c>
      <c r="H112">
        <v>51689.750670000001</v>
      </c>
      <c r="I112">
        <v>51689.750670000001</v>
      </c>
      <c r="J112" t="s">
        <v>148</v>
      </c>
      <c r="K112" t="s">
        <v>148</v>
      </c>
      <c r="L112">
        <v>1.8</v>
      </c>
      <c r="M112" t="s">
        <v>149</v>
      </c>
      <c r="N112">
        <v>3</v>
      </c>
      <c r="O112">
        <v>0.1</v>
      </c>
      <c r="P112">
        <v>2</v>
      </c>
      <c r="Q112">
        <v>1250</v>
      </c>
      <c r="R112">
        <v>0.94884449800000004</v>
      </c>
      <c r="S112" t="s">
        <v>198</v>
      </c>
      <c r="Y112" t="s">
        <v>199</v>
      </c>
    </row>
    <row r="113" spans="1:25">
      <c r="A113" t="s">
        <v>293</v>
      </c>
      <c r="B113" s="113">
        <v>43679</v>
      </c>
      <c r="C113" t="s">
        <v>159</v>
      </c>
      <c r="D113" t="s">
        <v>168</v>
      </c>
      <c r="E113">
        <v>34</v>
      </c>
      <c r="F113">
        <v>713</v>
      </c>
      <c r="G113" t="s">
        <v>176</v>
      </c>
      <c r="H113">
        <v>56191.645729999997</v>
      </c>
      <c r="I113">
        <v>56191.645729999997</v>
      </c>
      <c r="J113" t="s">
        <v>148</v>
      </c>
      <c r="K113" t="s">
        <v>148</v>
      </c>
      <c r="L113">
        <v>4.3</v>
      </c>
      <c r="M113" t="s">
        <v>149</v>
      </c>
      <c r="N113">
        <v>5</v>
      </c>
      <c r="O113">
        <v>4.0999999999999996</v>
      </c>
      <c r="P113">
        <v>1</v>
      </c>
      <c r="Q113">
        <v>900</v>
      </c>
      <c r="R113">
        <v>0.88642144700000003</v>
      </c>
      <c r="S113" t="s">
        <v>150</v>
      </c>
      <c r="T113">
        <v>13</v>
      </c>
      <c r="U113">
        <v>1</v>
      </c>
      <c r="V113">
        <v>13</v>
      </c>
      <c r="W113">
        <v>0</v>
      </c>
      <c r="X113" t="s">
        <v>151</v>
      </c>
      <c r="Y113" t="s">
        <v>152</v>
      </c>
    </row>
    <row r="114" spans="1:25">
      <c r="A114" t="s">
        <v>294</v>
      </c>
      <c r="B114" s="113">
        <v>43680</v>
      </c>
      <c r="C114" t="s">
        <v>145</v>
      </c>
      <c r="D114" t="s">
        <v>280</v>
      </c>
      <c r="E114">
        <v>52</v>
      </c>
      <c r="F114">
        <v>705</v>
      </c>
      <c r="G114" t="s">
        <v>147</v>
      </c>
      <c r="H114">
        <v>50791.594080000003</v>
      </c>
      <c r="I114">
        <v>50791.594080000003</v>
      </c>
      <c r="J114" t="s">
        <v>148</v>
      </c>
      <c r="K114" t="s">
        <v>148</v>
      </c>
      <c r="L114">
        <v>3.7</v>
      </c>
      <c r="M114" t="s">
        <v>149</v>
      </c>
      <c r="N114">
        <v>2</v>
      </c>
      <c r="O114">
        <v>0.1</v>
      </c>
      <c r="P114">
        <v>3</v>
      </c>
      <c r="Q114">
        <v>950</v>
      </c>
      <c r="R114">
        <v>0.80135437700000001</v>
      </c>
      <c r="S114" t="s">
        <v>150</v>
      </c>
      <c r="T114">
        <v>15</v>
      </c>
      <c r="U114">
        <v>0</v>
      </c>
      <c r="V114">
        <v>15</v>
      </c>
      <c r="W114">
        <v>0</v>
      </c>
      <c r="X114" t="s">
        <v>151</v>
      </c>
      <c r="Y114" t="s">
        <v>152</v>
      </c>
    </row>
    <row r="115" spans="1:25">
      <c r="A115" t="s">
        <v>295</v>
      </c>
      <c r="B115" s="113">
        <v>43681</v>
      </c>
      <c r="C115" t="s">
        <v>162</v>
      </c>
      <c r="D115" t="s">
        <v>195</v>
      </c>
      <c r="E115">
        <v>33</v>
      </c>
      <c r="F115">
        <v>609</v>
      </c>
      <c r="G115" t="s">
        <v>155</v>
      </c>
      <c r="H115">
        <v>35602.554080000002</v>
      </c>
      <c r="I115">
        <v>35602.554080000002</v>
      </c>
      <c r="J115" t="s">
        <v>148</v>
      </c>
      <c r="K115" t="s">
        <v>148</v>
      </c>
      <c r="L115">
        <v>4.9000000000000004</v>
      </c>
      <c r="M115" t="s">
        <v>149</v>
      </c>
      <c r="N115">
        <v>5</v>
      </c>
      <c r="O115">
        <v>0.4</v>
      </c>
      <c r="P115">
        <v>3</v>
      </c>
      <c r="Q115">
        <v>1850</v>
      </c>
      <c r="R115">
        <v>0.69581636099999999</v>
      </c>
      <c r="S115" t="s">
        <v>150</v>
      </c>
      <c r="T115">
        <v>13</v>
      </c>
      <c r="U115">
        <v>0</v>
      </c>
      <c r="V115">
        <v>13</v>
      </c>
      <c r="W115">
        <v>0</v>
      </c>
      <c r="X115" t="s">
        <v>149</v>
      </c>
      <c r="Y115" t="s">
        <v>157</v>
      </c>
    </row>
    <row r="116" spans="1:25">
      <c r="A116" t="s">
        <v>296</v>
      </c>
      <c r="B116" s="113">
        <v>43685</v>
      </c>
      <c r="C116" t="s">
        <v>145</v>
      </c>
      <c r="D116" t="s">
        <v>146</v>
      </c>
      <c r="E116">
        <v>43</v>
      </c>
      <c r="F116">
        <v>772</v>
      </c>
      <c r="G116" t="s">
        <v>169</v>
      </c>
      <c r="H116">
        <v>41216.612410000002</v>
      </c>
      <c r="J116" t="s">
        <v>183</v>
      </c>
      <c r="K116" t="s">
        <v>183</v>
      </c>
      <c r="L116">
        <v>1.8</v>
      </c>
      <c r="M116" t="s">
        <v>149</v>
      </c>
      <c r="N116">
        <v>5</v>
      </c>
      <c r="O116">
        <v>1.7</v>
      </c>
      <c r="P116">
        <v>3</v>
      </c>
      <c r="Q116">
        <v>1300</v>
      </c>
      <c r="R116">
        <v>0.57250341599999999</v>
      </c>
      <c r="S116" t="s">
        <v>150</v>
      </c>
      <c r="T116">
        <v>12</v>
      </c>
      <c r="U116">
        <v>1</v>
      </c>
      <c r="V116">
        <v>12</v>
      </c>
      <c r="W116">
        <v>0</v>
      </c>
      <c r="X116" t="s">
        <v>149</v>
      </c>
      <c r="Y116" t="s">
        <v>157</v>
      </c>
    </row>
    <row r="117" spans="1:25">
      <c r="A117" t="s">
        <v>297</v>
      </c>
      <c r="B117" s="113">
        <v>43687</v>
      </c>
      <c r="C117" t="s">
        <v>159</v>
      </c>
      <c r="D117" t="s">
        <v>168</v>
      </c>
      <c r="E117">
        <v>50</v>
      </c>
      <c r="F117">
        <v>487</v>
      </c>
      <c r="G117" t="s">
        <v>176</v>
      </c>
      <c r="H117">
        <v>25703.848770000001</v>
      </c>
      <c r="J117" t="s">
        <v>148</v>
      </c>
      <c r="K117" t="s">
        <v>148</v>
      </c>
      <c r="L117">
        <v>4.5999999999999996</v>
      </c>
      <c r="M117" t="s">
        <v>149</v>
      </c>
      <c r="N117">
        <v>2</v>
      </c>
      <c r="O117">
        <v>13.2</v>
      </c>
      <c r="P117">
        <v>3</v>
      </c>
      <c r="Q117">
        <v>850</v>
      </c>
      <c r="R117">
        <v>0.43456562199999998</v>
      </c>
      <c r="S117" t="s">
        <v>150</v>
      </c>
      <c r="T117">
        <v>18</v>
      </c>
      <c r="U117">
        <v>0</v>
      </c>
      <c r="V117">
        <v>18</v>
      </c>
      <c r="W117">
        <v>0</v>
      </c>
      <c r="X117" t="s">
        <v>149</v>
      </c>
      <c r="Y117" t="s">
        <v>157</v>
      </c>
    </row>
    <row r="118" spans="1:25">
      <c r="A118" t="s">
        <v>298</v>
      </c>
      <c r="B118" s="113">
        <v>43688</v>
      </c>
      <c r="C118" t="s">
        <v>162</v>
      </c>
      <c r="D118" t="s">
        <v>187</v>
      </c>
      <c r="E118">
        <v>44</v>
      </c>
      <c r="F118">
        <v>589</v>
      </c>
      <c r="G118" t="s">
        <v>169</v>
      </c>
      <c r="H118">
        <v>104129.5578</v>
      </c>
      <c r="I118">
        <v>104129.5578</v>
      </c>
      <c r="J118" t="s">
        <v>148</v>
      </c>
      <c r="K118" t="s">
        <v>148</v>
      </c>
      <c r="L118">
        <v>0</v>
      </c>
      <c r="M118" t="s">
        <v>149</v>
      </c>
      <c r="N118">
        <v>3</v>
      </c>
      <c r="O118">
        <v>18.2</v>
      </c>
      <c r="P118">
        <v>4</v>
      </c>
      <c r="Q118">
        <v>1500</v>
      </c>
      <c r="R118">
        <v>0.28552666100000001</v>
      </c>
      <c r="S118" t="s">
        <v>150</v>
      </c>
      <c r="T118">
        <v>13</v>
      </c>
      <c r="U118">
        <v>0</v>
      </c>
      <c r="V118">
        <v>13</v>
      </c>
      <c r="W118">
        <v>0</v>
      </c>
      <c r="X118" t="s">
        <v>151</v>
      </c>
      <c r="Y118" t="s">
        <v>152</v>
      </c>
    </row>
    <row r="119" spans="1:25">
      <c r="A119" t="s">
        <v>299</v>
      </c>
      <c r="B119" s="113">
        <v>43689</v>
      </c>
      <c r="C119" t="s">
        <v>159</v>
      </c>
      <c r="D119" t="s">
        <v>160</v>
      </c>
      <c r="E119">
        <v>44</v>
      </c>
      <c r="F119">
        <v>681</v>
      </c>
      <c r="G119" t="s">
        <v>155</v>
      </c>
      <c r="H119">
        <v>41993.329129999998</v>
      </c>
      <c r="I119">
        <v>41993.329129999998</v>
      </c>
      <c r="J119" t="s">
        <v>170</v>
      </c>
      <c r="K119" t="s">
        <v>170</v>
      </c>
      <c r="L119">
        <v>3.8</v>
      </c>
      <c r="M119" t="s">
        <v>149</v>
      </c>
      <c r="N119">
        <v>2</v>
      </c>
      <c r="O119">
        <v>1.4</v>
      </c>
      <c r="P119">
        <v>3</v>
      </c>
      <c r="Q119">
        <v>1500</v>
      </c>
      <c r="R119">
        <v>0.129193799</v>
      </c>
      <c r="S119" t="s">
        <v>150</v>
      </c>
      <c r="T119">
        <v>13</v>
      </c>
      <c r="U119">
        <v>0</v>
      </c>
      <c r="V119">
        <v>13</v>
      </c>
      <c r="W119">
        <v>0</v>
      </c>
      <c r="X119" t="s">
        <v>149</v>
      </c>
      <c r="Y119" t="s">
        <v>157</v>
      </c>
    </row>
    <row r="120" spans="1:25">
      <c r="A120" t="s">
        <v>300</v>
      </c>
      <c r="B120" s="113">
        <v>43690</v>
      </c>
      <c r="C120" t="s">
        <v>145</v>
      </c>
      <c r="D120" t="s">
        <v>280</v>
      </c>
      <c r="E120">
        <v>34</v>
      </c>
      <c r="F120">
        <v>723</v>
      </c>
      <c r="G120" t="s">
        <v>155</v>
      </c>
      <c r="H120">
        <v>43818.831299999998</v>
      </c>
      <c r="I120">
        <v>43818.831299999998</v>
      </c>
      <c r="J120" t="s">
        <v>148</v>
      </c>
      <c r="K120" t="s">
        <v>148</v>
      </c>
      <c r="L120">
        <v>5.6</v>
      </c>
      <c r="M120" t="s">
        <v>149</v>
      </c>
      <c r="N120">
        <v>1</v>
      </c>
      <c r="O120">
        <v>1</v>
      </c>
      <c r="P120">
        <v>3</v>
      </c>
      <c r="Q120">
        <v>1350</v>
      </c>
      <c r="R120">
        <v>3.0439376000000001E-2</v>
      </c>
      <c r="S120" t="s">
        <v>150</v>
      </c>
      <c r="T120">
        <v>16</v>
      </c>
      <c r="U120">
        <v>0</v>
      </c>
      <c r="V120">
        <v>16</v>
      </c>
      <c r="W120">
        <v>0</v>
      </c>
      <c r="X120" t="s">
        <v>151</v>
      </c>
      <c r="Y120" t="s">
        <v>152</v>
      </c>
    </row>
    <row r="121" spans="1:25">
      <c r="A121" t="s">
        <v>301</v>
      </c>
      <c r="B121" s="113">
        <v>43695</v>
      </c>
      <c r="C121" t="s">
        <v>145</v>
      </c>
      <c r="D121" t="s">
        <v>154</v>
      </c>
      <c r="E121">
        <v>25</v>
      </c>
      <c r="F121">
        <v>682</v>
      </c>
      <c r="G121" t="s">
        <v>169</v>
      </c>
      <c r="H121">
        <v>101952.0563</v>
      </c>
      <c r="J121" t="s">
        <v>148</v>
      </c>
      <c r="K121" t="s">
        <v>148</v>
      </c>
      <c r="L121">
        <v>2.2000000000000002</v>
      </c>
      <c r="M121" t="s">
        <v>151</v>
      </c>
      <c r="N121">
        <v>1</v>
      </c>
      <c r="O121">
        <v>0.9</v>
      </c>
      <c r="P121">
        <v>4</v>
      </c>
      <c r="Q121">
        <v>1850</v>
      </c>
      <c r="R121">
        <v>0.18929496300000001</v>
      </c>
      <c r="S121" t="s">
        <v>150</v>
      </c>
      <c r="T121">
        <v>19</v>
      </c>
      <c r="U121">
        <v>2</v>
      </c>
      <c r="V121">
        <v>19</v>
      </c>
      <c r="W121">
        <v>0</v>
      </c>
      <c r="X121" t="s">
        <v>149</v>
      </c>
      <c r="Y121" t="s">
        <v>157</v>
      </c>
    </row>
    <row r="122" spans="1:25">
      <c r="A122" t="s">
        <v>302</v>
      </c>
      <c r="B122" s="113">
        <v>43695</v>
      </c>
      <c r="C122" t="s">
        <v>159</v>
      </c>
      <c r="D122" t="s">
        <v>160</v>
      </c>
      <c r="E122">
        <v>54</v>
      </c>
      <c r="F122">
        <v>784</v>
      </c>
      <c r="G122" t="s">
        <v>169</v>
      </c>
      <c r="H122">
        <v>70357.287809999994</v>
      </c>
      <c r="J122" t="s">
        <v>183</v>
      </c>
      <c r="K122" t="s">
        <v>183</v>
      </c>
      <c r="L122">
        <v>0.8</v>
      </c>
      <c r="M122" t="s">
        <v>149</v>
      </c>
      <c r="N122">
        <v>1</v>
      </c>
      <c r="O122">
        <v>3.5</v>
      </c>
      <c r="P122">
        <v>3</v>
      </c>
      <c r="Q122">
        <v>1150</v>
      </c>
      <c r="R122">
        <v>0.34331492899999999</v>
      </c>
      <c r="S122" t="s">
        <v>150</v>
      </c>
      <c r="T122">
        <v>23</v>
      </c>
      <c r="U122">
        <v>0</v>
      </c>
      <c r="V122">
        <v>23</v>
      </c>
      <c r="W122">
        <v>0</v>
      </c>
      <c r="X122" t="s">
        <v>149</v>
      </c>
      <c r="Y122" t="s">
        <v>157</v>
      </c>
    </row>
    <row r="123" spans="1:25">
      <c r="A123" t="s">
        <v>303</v>
      </c>
      <c r="B123" s="113">
        <v>43698</v>
      </c>
      <c r="C123" t="s">
        <v>162</v>
      </c>
      <c r="D123" t="s">
        <v>195</v>
      </c>
      <c r="E123">
        <v>48</v>
      </c>
      <c r="F123">
        <v>740</v>
      </c>
      <c r="G123" t="s">
        <v>176</v>
      </c>
      <c r="H123">
        <v>50946.426019999999</v>
      </c>
      <c r="I123">
        <v>50946.426019999999</v>
      </c>
      <c r="J123" t="s">
        <v>148</v>
      </c>
      <c r="K123" t="s">
        <v>148</v>
      </c>
      <c r="L123">
        <v>4.9000000000000004</v>
      </c>
      <c r="M123" t="s">
        <v>149</v>
      </c>
      <c r="N123">
        <v>3</v>
      </c>
      <c r="O123">
        <v>0.4</v>
      </c>
      <c r="P123">
        <v>3</v>
      </c>
      <c r="Q123">
        <v>1400</v>
      </c>
      <c r="R123">
        <v>0.48856476599999998</v>
      </c>
      <c r="S123" t="s">
        <v>150</v>
      </c>
      <c r="T123">
        <v>10</v>
      </c>
      <c r="U123">
        <v>1</v>
      </c>
      <c r="V123">
        <v>10</v>
      </c>
      <c r="W123">
        <v>0</v>
      </c>
      <c r="X123" t="s">
        <v>151</v>
      </c>
      <c r="Y123" t="s">
        <v>152</v>
      </c>
    </row>
    <row r="124" spans="1:25">
      <c r="A124" t="s">
        <v>304</v>
      </c>
      <c r="B124" s="113">
        <v>43700</v>
      </c>
      <c r="C124" t="s">
        <v>162</v>
      </c>
      <c r="D124" t="s">
        <v>163</v>
      </c>
      <c r="E124">
        <v>42</v>
      </c>
      <c r="F124">
        <v>667</v>
      </c>
      <c r="G124" t="s">
        <v>169</v>
      </c>
      <c r="H124">
        <v>40996.960270000003</v>
      </c>
      <c r="I124">
        <v>40996.960270000003</v>
      </c>
      <c r="J124" t="s">
        <v>183</v>
      </c>
      <c r="K124" t="s">
        <v>183</v>
      </c>
      <c r="L124">
        <v>3.1</v>
      </c>
      <c r="M124" t="s">
        <v>149</v>
      </c>
      <c r="N124">
        <v>6</v>
      </c>
      <c r="O124">
        <v>3.8</v>
      </c>
      <c r="P124">
        <v>3</v>
      </c>
      <c r="Q124">
        <v>1300</v>
      </c>
      <c r="R124">
        <v>0.62133400400000005</v>
      </c>
      <c r="S124" t="s">
        <v>150</v>
      </c>
      <c r="T124">
        <v>22</v>
      </c>
      <c r="U124">
        <v>0</v>
      </c>
      <c r="V124">
        <v>22</v>
      </c>
      <c r="W124">
        <v>0</v>
      </c>
      <c r="X124" t="s">
        <v>149</v>
      </c>
      <c r="Y124" t="s">
        <v>157</v>
      </c>
    </row>
    <row r="125" spans="1:25">
      <c r="A125" t="s">
        <v>305</v>
      </c>
      <c r="B125" s="113">
        <v>43703</v>
      </c>
      <c r="C125" t="s">
        <v>145</v>
      </c>
      <c r="D125" t="s">
        <v>146</v>
      </c>
      <c r="E125">
        <v>56</v>
      </c>
      <c r="F125">
        <v>643</v>
      </c>
      <c r="G125" t="s">
        <v>147</v>
      </c>
      <c r="H125">
        <v>42519.312109999999</v>
      </c>
      <c r="I125">
        <v>42519.312109999999</v>
      </c>
      <c r="J125" t="s">
        <v>148</v>
      </c>
      <c r="K125" t="s">
        <v>148</v>
      </c>
      <c r="L125">
        <v>0.4</v>
      </c>
      <c r="M125" t="s">
        <v>149</v>
      </c>
      <c r="N125">
        <v>4</v>
      </c>
      <c r="O125">
        <v>5.4</v>
      </c>
      <c r="P125">
        <v>4</v>
      </c>
      <c r="Q125">
        <v>1450</v>
      </c>
      <c r="R125">
        <v>0.73823099599999997</v>
      </c>
      <c r="S125" t="s">
        <v>150</v>
      </c>
      <c r="T125">
        <v>18</v>
      </c>
      <c r="U125">
        <v>0</v>
      </c>
      <c r="V125">
        <v>18</v>
      </c>
      <c r="W125">
        <v>0</v>
      </c>
      <c r="X125" t="s">
        <v>151</v>
      </c>
      <c r="Y125" t="s">
        <v>152</v>
      </c>
    </row>
    <row r="126" spans="1:25">
      <c r="A126" t="s">
        <v>306</v>
      </c>
      <c r="B126" s="113">
        <v>43705</v>
      </c>
      <c r="C126" t="s">
        <v>159</v>
      </c>
      <c r="D126" t="s">
        <v>209</v>
      </c>
      <c r="E126">
        <v>30</v>
      </c>
      <c r="F126">
        <v>674</v>
      </c>
      <c r="G126" t="s">
        <v>155</v>
      </c>
      <c r="H126">
        <v>29143.601309999998</v>
      </c>
      <c r="J126" t="s">
        <v>148</v>
      </c>
      <c r="K126" t="s">
        <v>148</v>
      </c>
      <c r="L126">
        <v>0.7</v>
      </c>
      <c r="M126" t="s">
        <v>149</v>
      </c>
      <c r="N126">
        <v>3</v>
      </c>
      <c r="O126">
        <v>1</v>
      </c>
      <c r="P126">
        <v>2</v>
      </c>
      <c r="Q126">
        <v>1600</v>
      </c>
      <c r="R126">
        <v>0.83626955800000002</v>
      </c>
      <c r="S126" t="s">
        <v>150</v>
      </c>
      <c r="T126">
        <v>21</v>
      </c>
      <c r="U126">
        <v>0</v>
      </c>
      <c r="V126">
        <v>21</v>
      </c>
      <c r="W126">
        <v>0</v>
      </c>
      <c r="X126" t="s">
        <v>149</v>
      </c>
      <c r="Y126" t="s">
        <v>157</v>
      </c>
    </row>
    <row r="127" spans="1:25">
      <c r="A127" t="s">
        <v>307</v>
      </c>
      <c r="B127" s="113">
        <v>43706</v>
      </c>
      <c r="C127" t="s">
        <v>159</v>
      </c>
      <c r="D127" t="s">
        <v>197</v>
      </c>
      <c r="E127">
        <v>39</v>
      </c>
      <c r="F127">
        <v>631</v>
      </c>
      <c r="G127" t="s">
        <v>176</v>
      </c>
      <c r="H127">
        <v>39353.673820000004</v>
      </c>
      <c r="I127">
        <v>39353.673820000004</v>
      </c>
      <c r="J127" t="s">
        <v>156</v>
      </c>
      <c r="K127" t="s">
        <v>156</v>
      </c>
      <c r="L127">
        <v>0.6</v>
      </c>
      <c r="M127" t="s">
        <v>149</v>
      </c>
      <c r="N127">
        <v>2</v>
      </c>
      <c r="O127">
        <v>0</v>
      </c>
      <c r="P127">
        <v>3</v>
      </c>
      <c r="Q127">
        <v>1450</v>
      </c>
      <c r="R127">
        <v>0.91294525100000001</v>
      </c>
      <c r="S127" t="s">
        <v>150</v>
      </c>
      <c r="T127">
        <v>18</v>
      </c>
      <c r="U127">
        <v>0</v>
      </c>
      <c r="V127">
        <v>18</v>
      </c>
      <c r="W127">
        <v>0</v>
      </c>
      <c r="X127" t="s">
        <v>149</v>
      </c>
      <c r="Y127" t="s">
        <v>157</v>
      </c>
    </row>
    <row r="128" spans="1:25">
      <c r="A128" t="s">
        <v>308</v>
      </c>
      <c r="B128" s="113">
        <v>43707</v>
      </c>
      <c r="C128" t="s">
        <v>162</v>
      </c>
      <c r="D128" t="s">
        <v>187</v>
      </c>
      <c r="E128">
        <v>36</v>
      </c>
      <c r="F128">
        <v>724</v>
      </c>
      <c r="G128" t="s">
        <v>176</v>
      </c>
      <c r="H128">
        <v>32330.450809999998</v>
      </c>
      <c r="I128">
        <v>32330.450809999998</v>
      </c>
      <c r="J128" t="s">
        <v>170</v>
      </c>
      <c r="K128" t="s">
        <v>170</v>
      </c>
      <c r="L128">
        <v>0.5</v>
      </c>
      <c r="M128" t="s">
        <v>149</v>
      </c>
      <c r="N128">
        <v>3</v>
      </c>
      <c r="O128">
        <v>4.5</v>
      </c>
      <c r="P128">
        <v>1</v>
      </c>
      <c r="Q128">
        <v>1150</v>
      </c>
      <c r="R128">
        <v>0.966299362</v>
      </c>
      <c r="S128" t="s">
        <v>150</v>
      </c>
      <c r="T128">
        <v>23</v>
      </c>
      <c r="U128">
        <v>0</v>
      </c>
      <c r="V128">
        <v>23</v>
      </c>
      <c r="W128">
        <v>0</v>
      </c>
      <c r="X128" t="s">
        <v>149</v>
      </c>
      <c r="Y128" t="s">
        <v>157</v>
      </c>
    </row>
    <row r="129" spans="1:25">
      <c r="A129" t="s">
        <v>309</v>
      </c>
      <c r="B129" s="113">
        <v>43710</v>
      </c>
      <c r="C129" t="s">
        <v>162</v>
      </c>
      <c r="D129" t="s">
        <v>179</v>
      </c>
      <c r="E129">
        <v>35</v>
      </c>
      <c r="F129">
        <v>706</v>
      </c>
      <c r="G129" t="s">
        <v>147</v>
      </c>
      <c r="H129">
        <v>26747.017080000001</v>
      </c>
      <c r="I129">
        <v>26747.017080000001</v>
      </c>
      <c r="J129" t="s">
        <v>148</v>
      </c>
      <c r="K129" t="s">
        <v>148</v>
      </c>
      <c r="L129">
        <v>1.6</v>
      </c>
      <c r="M129" t="s">
        <v>149</v>
      </c>
      <c r="N129">
        <v>2</v>
      </c>
      <c r="O129">
        <v>0.4</v>
      </c>
      <c r="P129">
        <v>2</v>
      </c>
      <c r="Q129">
        <v>800</v>
      </c>
      <c r="R129">
        <v>0.994968937</v>
      </c>
      <c r="S129" t="s">
        <v>150</v>
      </c>
      <c r="T129">
        <v>21</v>
      </c>
      <c r="U129">
        <v>0</v>
      </c>
      <c r="V129">
        <v>21</v>
      </c>
      <c r="W129">
        <v>0</v>
      </c>
      <c r="X129" t="s">
        <v>151</v>
      </c>
      <c r="Y129" t="s">
        <v>152</v>
      </c>
    </row>
    <row r="130" spans="1:25">
      <c r="A130" t="s">
        <v>310</v>
      </c>
      <c r="B130" s="113">
        <v>43711</v>
      </c>
      <c r="C130" t="s">
        <v>159</v>
      </c>
      <c r="D130" t="s">
        <v>168</v>
      </c>
      <c r="E130">
        <v>30</v>
      </c>
      <c r="F130">
        <v>736</v>
      </c>
      <c r="G130" t="s">
        <v>169</v>
      </c>
      <c r="H130">
        <v>34676.116370000003</v>
      </c>
      <c r="I130">
        <v>34676.116370000003</v>
      </c>
      <c r="J130" t="s">
        <v>183</v>
      </c>
      <c r="K130" t="s">
        <v>183</v>
      </c>
      <c r="L130">
        <v>12.4</v>
      </c>
      <c r="M130" t="s">
        <v>149</v>
      </c>
      <c r="N130">
        <v>6</v>
      </c>
      <c r="O130">
        <v>4.2</v>
      </c>
      <c r="P130">
        <v>2</v>
      </c>
      <c r="Q130">
        <v>800</v>
      </c>
      <c r="R130">
        <v>0.99822160000000004</v>
      </c>
      <c r="S130" t="s">
        <v>150</v>
      </c>
      <c r="T130">
        <v>13</v>
      </c>
      <c r="U130">
        <v>0</v>
      </c>
      <c r="V130">
        <v>13</v>
      </c>
      <c r="W130">
        <v>0</v>
      </c>
      <c r="X130" t="s">
        <v>149</v>
      </c>
      <c r="Y130" t="s">
        <v>157</v>
      </c>
    </row>
    <row r="131" spans="1:25">
      <c r="A131" t="s">
        <v>311</v>
      </c>
      <c r="B131" s="113">
        <v>43712</v>
      </c>
      <c r="C131" t="s">
        <v>162</v>
      </c>
      <c r="D131" t="s">
        <v>179</v>
      </c>
      <c r="E131">
        <v>53</v>
      </c>
      <c r="F131">
        <v>614</v>
      </c>
      <c r="G131" t="s">
        <v>169</v>
      </c>
      <c r="H131">
        <v>79903.933780000007</v>
      </c>
      <c r="J131" t="s">
        <v>148</v>
      </c>
      <c r="K131" t="s">
        <v>148</v>
      </c>
      <c r="L131">
        <v>1.8</v>
      </c>
      <c r="M131" t="s">
        <v>149</v>
      </c>
      <c r="N131">
        <v>3</v>
      </c>
      <c r="O131">
        <v>4.5999999999999996</v>
      </c>
      <c r="P131">
        <v>3</v>
      </c>
      <c r="Q131">
        <v>1450</v>
      </c>
      <c r="R131">
        <v>0.97597425999999998</v>
      </c>
      <c r="S131" t="s">
        <v>150</v>
      </c>
      <c r="T131">
        <v>16</v>
      </c>
      <c r="U131">
        <v>1</v>
      </c>
      <c r="V131">
        <v>16</v>
      </c>
      <c r="W131">
        <v>0</v>
      </c>
      <c r="X131" t="s">
        <v>151</v>
      </c>
      <c r="Y131" t="s">
        <v>152</v>
      </c>
    </row>
    <row r="132" spans="1:25">
      <c r="A132" t="s">
        <v>312</v>
      </c>
      <c r="B132" s="113">
        <v>43714</v>
      </c>
      <c r="C132" t="s">
        <v>145</v>
      </c>
      <c r="D132" t="s">
        <v>213</v>
      </c>
      <c r="E132">
        <v>29</v>
      </c>
      <c r="F132">
        <v>716</v>
      </c>
      <c r="G132" t="s">
        <v>176</v>
      </c>
      <c r="H132">
        <v>45444.683190000003</v>
      </c>
      <c r="I132">
        <v>45444.683190000003</v>
      </c>
      <c r="J132" t="s">
        <v>170</v>
      </c>
      <c r="K132" t="s">
        <v>170</v>
      </c>
      <c r="L132">
        <v>4.2</v>
      </c>
      <c r="M132" t="s">
        <v>149</v>
      </c>
      <c r="N132">
        <v>2</v>
      </c>
      <c r="O132">
        <v>3.4</v>
      </c>
      <c r="P132">
        <v>3</v>
      </c>
      <c r="Q132">
        <v>1200</v>
      </c>
      <c r="R132">
        <v>0.92879523399999997</v>
      </c>
      <c r="S132" t="s">
        <v>150</v>
      </c>
      <c r="T132">
        <v>7</v>
      </c>
      <c r="U132">
        <v>1</v>
      </c>
      <c r="V132">
        <v>7</v>
      </c>
      <c r="W132">
        <v>0</v>
      </c>
      <c r="X132" t="s">
        <v>151</v>
      </c>
      <c r="Y132" t="s">
        <v>152</v>
      </c>
    </row>
    <row r="133" spans="1:25">
      <c r="A133" t="s">
        <v>313</v>
      </c>
      <c r="B133" s="113">
        <v>43714</v>
      </c>
      <c r="C133" t="s">
        <v>162</v>
      </c>
      <c r="D133" t="s">
        <v>190</v>
      </c>
      <c r="E133">
        <v>44</v>
      </c>
      <c r="F133">
        <v>832</v>
      </c>
      <c r="G133" t="s">
        <v>155</v>
      </c>
      <c r="H133">
        <v>92337.332810000007</v>
      </c>
      <c r="I133">
        <v>92337.332810000007</v>
      </c>
      <c r="J133" t="s">
        <v>148</v>
      </c>
      <c r="K133" t="s">
        <v>148</v>
      </c>
      <c r="L133">
        <v>1.2</v>
      </c>
      <c r="M133" t="s">
        <v>151</v>
      </c>
      <c r="N133">
        <v>1</v>
      </c>
      <c r="O133">
        <v>2.5</v>
      </c>
      <c r="P133">
        <v>4</v>
      </c>
      <c r="Q133">
        <v>900</v>
      </c>
      <c r="R133">
        <v>0.85788973199999996</v>
      </c>
      <c r="S133" t="s">
        <v>150</v>
      </c>
      <c r="T133">
        <v>13</v>
      </c>
      <c r="U133">
        <v>1</v>
      </c>
      <c r="V133">
        <v>13</v>
      </c>
      <c r="W133">
        <v>0</v>
      </c>
      <c r="X133" t="s">
        <v>149</v>
      </c>
      <c r="Y133" t="s">
        <v>157</v>
      </c>
    </row>
    <row r="134" spans="1:25">
      <c r="A134" t="s">
        <v>314</v>
      </c>
      <c r="B134" s="113">
        <v>43715</v>
      </c>
      <c r="C134" t="s">
        <v>159</v>
      </c>
      <c r="D134" t="s">
        <v>160</v>
      </c>
      <c r="E134">
        <v>34</v>
      </c>
      <c r="F134">
        <v>763</v>
      </c>
      <c r="G134" t="s">
        <v>155</v>
      </c>
      <c r="H134">
        <v>81812.800380000001</v>
      </c>
      <c r="J134" t="s">
        <v>148</v>
      </c>
      <c r="K134" t="s">
        <v>148</v>
      </c>
      <c r="L134">
        <v>0.1</v>
      </c>
      <c r="M134" t="s">
        <v>149</v>
      </c>
      <c r="N134">
        <v>3</v>
      </c>
      <c r="O134">
        <v>7.3</v>
      </c>
      <c r="P134">
        <v>3</v>
      </c>
      <c r="Q134">
        <v>1200</v>
      </c>
      <c r="R134">
        <v>0.76506906399999997</v>
      </c>
      <c r="S134" t="s">
        <v>150</v>
      </c>
      <c r="T134">
        <v>6</v>
      </c>
      <c r="U134">
        <v>0</v>
      </c>
      <c r="V134">
        <v>6</v>
      </c>
      <c r="W134">
        <v>0</v>
      </c>
      <c r="X134" t="s">
        <v>151</v>
      </c>
      <c r="Y134" t="s">
        <v>152</v>
      </c>
    </row>
    <row r="135" spans="1:25">
      <c r="A135" t="s">
        <v>315</v>
      </c>
      <c r="B135" s="113">
        <v>43715</v>
      </c>
      <c r="C135" t="s">
        <v>159</v>
      </c>
      <c r="D135" t="s">
        <v>168</v>
      </c>
      <c r="E135">
        <v>44</v>
      </c>
      <c r="F135">
        <v>729</v>
      </c>
      <c r="G135" t="s">
        <v>176</v>
      </c>
      <c r="H135">
        <v>81450.3658</v>
      </c>
      <c r="I135">
        <v>81450.3658</v>
      </c>
      <c r="J135" t="s">
        <v>148</v>
      </c>
      <c r="K135" t="s">
        <v>148</v>
      </c>
      <c r="L135">
        <v>21.8</v>
      </c>
      <c r="M135" t="s">
        <v>149</v>
      </c>
      <c r="N135">
        <v>3</v>
      </c>
      <c r="O135">
        <v>14.6</v>
      </c>
      <c r="P135">
        <v>3</v>
      </c>
      <c r="Q135">
        <v>1450</v>
      </c>
      <c r="R135">
        <v>0.65270437599999998</v>
      </c>
      <c r="S135" t="s">
        <v>150</v>
      </c>
      <c r="T135">
        <v>12</v>
      </c>
      <c r="U135">
        <v>0</v>
      </c>
      <c r="V135">
        <v>12</v>
      </c>
      <c r="W135">
        <v>0</v>
      </c>
      <c r="X135" t="s">
        <v>149</v>
      </c>
      <c r="Y135" t="s">
        <v>157</v>
      </c>
    </row>
    <row r="136" spans="1:25">
      <c r="A136" t="s">
        <v>316</v>
      </c>
      <c r="B136" s="113">
        <v>43721</v>
      </c>
      <c r="C136" t="s">
        <v>162</v>
      </c>
      <c r="D136" t="s">
        <v>179</v>
      </c>
      <c r="E136">
        <v>53</v>
      </c>
      <c r="F136">
        <v>694</v>
      </c>
      <c r="G136" t="s">
        <v>147</v>
      </c>
      <c r="H136">
        <v>74181.904559999995</v>
      </c>
      <c r="J136" t="s">
        <v>148</v>
      </c>
      <c r="K136" t="s">
        <v>148</v>
      </c>
      <c r="L136">
        <v>0.9</v>
      </c>
      <c r="M136" t="s">
        <v>149</v>
      </c>
      <c r="N136">
        <v>2</v>
      </c>
      <c r="O136">
        <v>2.1</v>
      </c>
      <c r="P136">
        <v>2</v>
      </c>
      <c r="Q136">
        <v>1350</v>
      </c>
      <c r="R136">
        <v>0.52366607200000004</v>
      </c>
      <c r="S136" t="s">
        <v>150</v>
      </c>
      <c r="T136">
        <v>21</v>
      </c>
      <c r="U136">
        <v>0</v>
      </c>
      <c r="V136">
        <v>21</v>
      </c>
      <c r="W136">
        <v>0</v>
      </c>
      <c r="X136" t="s">
        <v>149</v>
      </c>
      <c r="Y136" t="s">
        <v>157</v>
      </c>
    </row>
    <row r="137" spans="1:25">
      <c r="A137" t="s">
        <v>317</v>
      </c>
      <c r="B137" s="113">
        <v>43724</v>
      </c>
      <c r="C137" t="s">
        <v>159</v>
      </c>
      <c r="D137" t="s">
        <v>168</v>
      </c>
      <c r="E137">
        <v>59</v>
      </c>
      <c r="F137">
        <v>654</v>
      </c>
      <c r="G137" t="s">
        <v>169</v>
      </c>
      <c r="H137">
        <v>24471.648949999999</v>
      </c>
      <c r="I137">
        <v>24471.648949999999</v>
      </c>
      <c r="J137" t="s">
        <v>148</v>
      </c>
      <c r="K137" t="s">
        <v>148</v>
      </c>
      <c r="L137">
        <v>1.3</v>
      </c>
      <c r="M137" t="s">
        <v>149</v>
      </c>
      <c r="N137">
        <v>1</v>
      </c>
      <c r="O137">
        <v>14.2</v>
      </c>
      <c r="P137">
        <v>3</v>
      </c>
      <c r="Q137">
        <v>800</v>
      </c>
      <c r="R137">
        <v>0.381250492</v>
      </c>
      <c r="S137" t="s">
        <v>150</v>
      </c>
      <c r="T137">
        <v>20</v>
      </c>
      <c r="U137">
        <v>1</v>
      </c>
      <c r="V137">
        <v>20</v>
      </c>
      <c r="W137">
        <v>0</v>
      </c>
      <c r="X137" t="s">
        <v>149</v>
      </c>
      <c r="Y137" t="s">
        <v>157</v>
      </c>
    </row>
    <row r="138" spans="1:25">
      <c r="A138" t="s">
        <v>318</v>
      </c>
      <c r="B138" s="113">
        <v>43726</v>
      </c>
      <c r="C138" t="s">
        <v>162</v>
      </c>
      <c r="D138" t="s">
        <v>163</v>
      </c>
      <c r="E138">
        <v>35</v>
      </c>
      <c r="F138">
        <v>801</v>
      </c>
      <c r="G138" t="s">
        <v>147</v>
      </c>
      <c r="H138">
        <v>27386.906200000001</v>
      </c>
      <c r="I138">
        <v>27386.906200000001</v>
      </c>
      <c r="J138" t="s">
        <v>148</v>
      </c>
      <c r="K138" t="s">
        <v>148</v>
      </c>
      <c r="L138">
        <v>3.1</v>
      </c>
      <c r="M138" t="s">
        <v>149</v>
      </c>
      <c r="N138">
        <v>2</v>
      </c>
      <c r="O138">
        <v>4.7</v>
      </c>
      <c r="P138">
        <v>1</v>
      </c>
      <c r="Q138">
        <v>1700</v>
      </c>
      <c r="R138">
        <v>0.22909570200000001</v>
      </c>
      <c r="S138" t="s">
        <v>150</v>
      </c>
      <c r="T138">
        <v>21</v>
      </c>
      <c r="U138">
        <v>1</v>
      </c>
      <c r="V138">
        <v>21</v>
      </c>
      <c r="W138">
        <v>0</v>
      </c>
      <c r="X138" t="s">
        <v>149</v>
      </c>
      <c r="Y138" t="s">
        <v>157</v>
      </c>
    </row>
    <row r="139" spans="1:25">
      <c r="A139" t="s">
        <v>319</v>
      </c>
      <c r="B139" s="113">
        <v>43726</v>
      </c>
      <c r="C139" t="s">
        <v>162</v>
      </c>
      <c r="D139" t="s">
        <v>195</v>
      </c>
      <c r="E139">
        <v>42</v>
      </c>
      <c r="F139">
        <v>606</v>
      </c>
      <c r="G139" t="s">
        <v>169</v>
      </c>
      <c r="H139">
        <v>43017.91749</v>
      </c>
      <c r="I139">
        <v>43017.91749</v>
      </c>
      <c r="J139" t="s">
        <v>183</v>
      </c>
      <c r="K139" t="s">
        <v>183</v>
      </c>
      <c r="L139">
        <v>7.9</v>
      </c>
      <c r="M139" t="s">
        <v>149</v>
      </c>
      <c r="N139">
        <v>1</v>
      </c>
      <c r="O139">
        <v>2.9</v>
      </c>
      <c r="P139">
        <v>2</v>
      </c>
      <c r="Q139">
        <v>1750</v>
      </c>
      <c r="R139">
        <v>7.1088562999999994E-2</v>
      </c>
      <c r="S139" t="s">
        <v>150</v>
      </c>
      <c r="T139">
        <v>17</v>
      </c>
      <c r="U139">
        <v>0</v>
      </c>
      <c r="V139">
        <v>17</v>
      </c>
      <c r="W139">
        <v>0</v>
      </c>
      <c r="X139" t="s">
        <v>149</v>
      </c>
      <c r="Y139" t="s">
        <v>157</v>
      </c>
    </row>
    <row r="140" spans="1:25">
      <c r="A140" t="s">
        <v>320</v>
      </c>
      <c r="B140" s="113">
        <v>43728</v>
      </c>
      <c r="C140" t="s">
        <v>159</v>
      </c>
      <c r="D140" t="s">
        <v>165</v>
      </c>
      <c r="E140">
        <v>52</v>
      </c>
      <c r="F140">
        <v>664</v>
      </c>
      <c r="G140" t="s">
        <v>147</v>
      </c>
      <c r="H140">
        <v>39024.963880000003</v>
      </c>
      <c r="I140">
        <v>39024.963880000003</v>
      </c>
      <c r="J140" t="s">
        <v>221</v>
      </c>
      <c r="K140" t="s">
        <v>221</v>
      </c>
      <c r="L140">
        <v>2.5</v>
      </c>
      <c r="M140" t="s">
        <v>149</v>
      </c>
      <c r="N140">
        <v>3</v>
      </c>
      <c r="O140">
        <v>3.4</v>
      </c>
      <c r="P140">
        <v>3</v>
      </c>
      <c r="Q140">
        <v>1350</v>
      </c>
      <c r="R140">
        <v>8.8734564000000002E-2</v>
      </c>
      <c r="S140" t="s">
        <v>150</v>
      </c>
      <c r="T140">
        <v>16</v>
      </c>
      <c r="U140">
        <v>0</v>
      </c>
      <c r="V140">
        <v>16</v>
      </c>
      <c r="W140">
        <v>0</v>
      </c>
      <c r="X140" t="s">
        <v>149</v>
      </c>
      <c r="Y140" t="s">
        <v>157</v>
      </c>
    </row>
    <row r="141" spans="1:25">
      <c r="A141" t="s">
        <v>321</v>
      </c>
      <c r="B141" s="113">
        <v>43729</v>
      </c>
      <c r="C141" t="s">
        <v>159</v>
      </c>
      <c r="D141" t="s">
        <v>209</v>
      </c>
      <c r="E141">
        <v>35</v>
      </c>
      <c r="F141">
        <v>697</v>
      </c>
      <c r="G141" t="s">
        <v>176</v>
      </c>
      <c r="H141">
        <v>62067.196219999998</v>
      </c>
      <c r="J141" t="s">
        <v>148</v>
      </c>
      <c r="K141" t="s">
        <v>148</v>
      </c>
      <c r="L141">
        <v>2.8</v>
      </c>
      <c r="M141" t="s">
        <v>151</v>
      </c>
      <c r="N141">
        <v>1</v>
      </c>
      <c r="O141">
        <v>0.9</v>
      </c>
      <c r="P141">
        <v>3</v>
      </c>
      <c r="Q141">
        <v>1450</v>
      </c>
      <c r="R141">
        <v>0.24629092799999999</v>
      </c>
      <c r="S141" t="s">
        <v>150</v>
      </c>
      <c r="T141">
        <v>12</v>
      </c>
      <c r="U141">
        <v>0</v>
      </c>
      <c r="V141">
        <v>12</v>
      </c>
      <c r="W141">
        <v>0</v>
      </c>
      <c r="X141" t="s">
        <v>149</v>
      </c>
      <c r="Y141" t="s">
        <v>157</v>
      </c>
    </row>
    <row r="142" spans="1:25">
      <c r="A142" t="s">
        <v>322</v>
      </c>
      <c r="B142" s="113">
        <v>43733</v>
      </c>
      <c r="C142" t="s">
        <v>145</v>
      </c>
      <c r="D142" t="s">
        <v>280</v>
      </c>
      <c r="E142">
        <v>45</v>
      </c>
      <c r="F142">
        <v>718</v>
      </c>
      <c r="G142" t="s">
        <v>169</v>
      </c>
      <c r="H142">
        <v>77735.27622</v>
      </c>
      <c r="I142">
        <v>77735.27622</v>
      </c>
      <c r="J142" t="s">
        <v>148</v>
      </c>
      <c r="K142" t="s">
        <v>148</v>
      </c>
      <c r="L142">
        <v>1.7</v>
      </c>
      <c r="M142" t="s">
        <v>149</v>
      </c>
      <c r="N142">
        <v>3</v>
      </c>
      <c r="O142">
        <v>9.3000000000000007</v>
      </c>
      <c r="P142">
        <v>3</v>
      </c>
      <c r="Q142">
        <v>1450</v>
      </c>
      <c r="R142">
        <v>0.39755568299999999</v>
      </c>
      <c r="S142" t="s">
        <v>150</v>
      </c>
      <c r="T142">
        <v>11</v>
      </c>
      <c r="U142">
        <v>1</v>
      </c>
      <c r="V142">
        <v>11</v>
      </c>
      <c r="W142">
        <v>0</v>
      </c>
      <c r="X142" t="s">
        <v>151</v>
      </c>
      <c r="Y142" t="s">
        <v>152</v>
      </c>
    </row>
    <row r="143" spans="1:25">
      <c r="A143" t="s">
        <v>323</v>
      </c>
      <c r="B143" s="113">
        <v>43735</v>
      </c>
      <c r="C143" t="s">
        <v>145</v>
      </c>
      <c r="D143" t="s">
        <v>213</v>
      </c>
      <c r="E143">
        <v>27</v>
      </c>
      <c r="F143">
        <v>671</v>
      </c>
      <c r="G143" t="s">
        <v>147</v>
      </c>
      <c r="H143">
        <v>39189.51021</v>
      </c>
      <c r="I143">
        <v>39189.51021</v>
      </c>
      <c r="J143" t="s">
        <v>183</v>
      </c>
      <c r="K143" t="s">
        <v>183</v>
      </c>
      <c r="L143">
        <v>11.1</v>
      </c>
      <c r="M143" t="s">
        <v>149</v>
      </c>
      <c r="N143">
        <v>4</v>
      </c>
      <c r="O143">
        <v>3.9</v>
      </c>
      <c r="P143">
        <v>4</v>
      </c>
      <c r="Q143">
        <v>1950</v>
      </c>
      <c r="R143">
        <v>0.53866470600000005</v>
      </c>
      <c r="S143" t="s">
        <v>150</v>
      </c>
      <c r="T143">
        <v>21</v>
      </c>
      <c r="U143">
        <v>2</v>
      </c>
      <c r="V143">
        <v>21</v>
      </c>
      <c r="W143">
        <v>0</v>
      </c>
      <c r="X143" t="s">
        <v>149</v>
      </c>
      <c r="Y143" t="s">
        <v>157</v>
      </c>
    </row>
    <row r="144" spans="1:25">
      <c r="A144" t="s">
        <v>324</v>
      </c>
      <c r="B144" s="113">
        <v>43737</v>
      </c>
      <c r="C144" t="s">
        <v>159</v>
      </c>
      <c r="D144" t="s">
        <v>209</v>
      </c>
      <c r="E144">
        <v>49</v>
      </c>
      <c r="F144">
        <v>561</v>
      </c>
      <c r="G144" t="s">
        <v>147</v>
      </c>
      <c r="H144">
        <v>33968.478020000002</v>
      </c>
      <c r="J144" t="s">
        <v>148</v>
      </c>
      <c r="K144" t="s">
        <v>148</v>
      </c>
      <c r="L144">
        <v>6.8</v>
      </c>
      <c r="M144" t="s">
        <v>149</v>
      </c>
      <c r="N144">
        <v>1</v>
      </c>
      <c r="O144">
        <v>7.7</v>
      </c>
      <c r="P144">
        <v>4</v>
      </c>
      <c r="Q144">
        <v>800</v>
      </c>
      <c r="R144">
        <v>0.66601330700000005</v>
      </c>
      <c r="S144" t="s">
        <v>150</v>
      </c>
      <c r="T144">
        <v>15</v>
      </c>
      <c r="U144">
        <v>0</v>
      </c>
      <c r="V144">
        <v>15</v>
      </c>
      <c r="W144">
        <v>0</v>
      </c>
      <c r="X144" t="s">
        <v>149</v>
      </c>
      <c r="Y144" t="s">
        <v>157</v>
      </c>
    </row>
    <row r="145" spans="1:25">
      <c r="A145" t="s">
        <v>325</v>
      </c>
      <c r="B145" s="113">
        <v>43740</v>
      </c>
      <c r="C145" t="s">
        <v>162</v>
      </c>
      <c r="D145" t="s">
        <v>193</v>
      </c>
      <c r="E145">
        <v>49</v>
      </c>
      <c r="F145">
        <v>795</v>
      </c>
      <c r="G145" t="s">
        <v>169</v>
      </c>
      <c r="H145">
        <v>26271.649099999999</v>
      </c>
      <c r="J145" t="s">
        <v>148</v>
      </c>
      <c r="K145" t="s">
        <v>148</v>
      </c>
      <c r="L145">
        <v>2</v>
      </c>
      <c r="M145" t="s">
        <v>151</v>
      </c>
      <c r="N145">
        <v>4</v>
      </c>
      <c r="O145">
        <v>4.2</v>
      </c>
      <c r="P145">
        <v>4</v>
      </c>
      <c r="Q145">
        <v>1500</v>
      </c>
      <c r="R145">
        <v>0.77634830799999999</v>
      </c>
      <c r="S145" t="s">
        <v>150</v>
      </c>
      <c r="T145">
        <v>13</v>
      </c>
      <c r="U145">
        <v>0</v>
      </c>
      <c r="V145">
        <v>13</v>
      </c>
      <c r="W145">
        <v>0</v>
      </c>
      <c r="X145" t="s">
        <v>151</v>
      </c>
      <c r="Y145" t="s">
        <v>152</v>
      </c>
    </row>
    <row r="146" spans="1:25">
      <c r="A146" t="s">
        <v>326</v>
      </c>
      <c r="B146" s="113">
        <v>43742</v>
      </c>
      <c r="C146" t="s">
        <v>162</v>
      </c>
      <c r="D146" t="s">
        <v>193</v>
      </c>
      <c r="E146">
        <v>43</v>
      </c>
      <c r="F146">
        <v>785</v>
      </c>
      <c r="G146" t="s">
        <v>169</v>
      </c>
      <c r="H146">
        <v>53112.155769999998</v>
      </c>
      <c r="I146">
        <v>53112.155769999998</v>
      </c>
      <c r="J146" t="s">
        <v>148</v>
      </c>
      <c r="K146" t="s">
        <v>148</v>
      </c>
      <c r="L146">
        <v>1.8</v>
      </c>
      <c r="M146" t="s">
        <v>149</v>
      </c>
      <c r="N146">
        <v>6</v>
      </c>
      <c r="O146">
        <v>5.8</v>
      </c>
      <c r="P146">
        <v>3</v>
      </c>
      <c r="Q146">
        <v>1200</v>
      </c>
      <c r="R146">
        <v>0.86685115599999996</v>
      </c>
      <c r="S146" t="s">
        <v>150</v>
      </c>
      <c r="T146">
        <v>9</v>
      </c>
      <c r="U146">
        <v>0</v>
      </c>
      <c r="V146">
        <v>9</v>
      </c>
      <c r="W146">
        <v>0</v>
      </c>
      <c r="X146" t="s">
        <v>151</v>
      </c>
      <c r="Y146" t="s">
        <v>152</v>
      </c>
    </row>
    <row r="147" spans="1:25">
      <c r="A147" t="s">
        <v>327</v>
      </c>
      <c r="B147" s="113">
        <v>43744</v>
      </c>
      <c r="C147" t="s">
        <v>162</v>
      </c>
      <c r="D147" t="s">
        <v>190</v>
      </c>
      <c r="E147">
        <v>28</v>
      </c>
      <c r="F147">
        <v>774</v>
      </c>
      <c r="G147" t="s">
        <v>169</v>
      </c>
      <c r="H147">
        <v>34244.795729999998</v>
      </c>
      <c r="I147">
        <v>34244.795729999998</v>
      </c>
      <c r="J147" t="s">
        <v>148</v>
      </c>
      <c r="K147" t="s">
        <v>148</v>
      </c>
      <c r="L147">
        <v>1.3</v>
      </c>
      <c r="M147" t="s">
        <v>149</v>
      </c>
      <c r="N147">
        <v>2</v>
      </c>
      <c r="O147">
        <v>0.7</v>
      </c>
      <c r="P147">
        <v>4</v>
      </c>
      <c r="Q147">
        <v>1450</v>
      </c>
      <c r="R147">
        <v>0.93520991499999995</v>
      </c>
      <c r="S147" t="s">
        <v>150</v>
      </c>
      <c r="T147">
        <v>13</v>
      </c>
      <c r="U147">
        <v>0</v>
      </c>
      <c r="V147">
        <v>13</v>
      </c>
      <c r="W147">
        <v>0</v>
      </c>
      <c r="X147" t="s">
        <v>149</v>
      </c>
      <c r="Y147" t="s">
        <v>157</v>
      </c>
    </row>
    <row r="148" spans="1:25">
      <c r="A148" t="s">
        <v>328</v>
      </c>
      <c r="B148" s="113">
        <v>43746</v>
      </c>
      <c r="C148" t="s">
        <v>159</v>
      </c>
      <c r="D148" t="s">
        <v>165</v>
      </c>
      <c r="E148">
        <v>49</v>
      </c>
      <c r="F148">
        <v>755</v>
      </c>
      <c r="G148" t="s">
        <v>155</v>
      </c>
      <c r="H148">
        <v>108689.2151</v>
      </c>
      <c r="I148">
        <v>108689.2151</v>
      </c>
      <c r="J148" t="s">
        <v>148</v>
      </c>
      <c r="K148" t="s">
        <v>148</v>
      </c>
      <c r="L148">
        <v>0.2</v>
      </c>
      <c r="M148" t="s">
        <v>149</v>
      </c>
      <c r="N148">
        <v>0</v>
      </c>
      <c r="O148">
        <v>0.1</v>
      </c>
      <c r="P148">
        <v>2</v>
      </c>
      <c r="Q148">
        <v>1200</v>
      </c>
      <c r="R148">
        <v>0.97967833199999999</v>
      </c>
      <c r="S148" t="s">
        <v>150</v>
      </c>
      <c r="T148">
        <v>6</v>
      </c>
      <c r="U148">
        <v>0</v>
      </c>
      <c r="V148">
        <v>6</v>
      </c>
      <c r="W148">
        <v>0</v>
      </c>
      <c r="X148" t="s">
        <v>151</v>
      </c>
      <c r="Y148" t="s">
        <v>152</v>
      </c>
    </row>
    <row r="149" spans="1:25">
      <c r="A149" t="s">
        <v>329</v>
      </c>
      <c r="B149" s="113">
        <v>43746</v>
      </c>
      <c r="C149" t="s">
        <v>162</v>
      </c>
      <c r="D149" t="s">
        <v>193</v>
      </c>
      <c r="E149">
        <v>57</v>
      </c>
      <c r="F149">
        <v>827</v>
      </c>
      <c r="G149" t="s">
        <v>169</v>
      </c>
      <c r="H149">
        <v>69219.737800000003</v>
      </c>
      <c r="I149">
        <v>69219.737800000003</v>
      </c>
      <c r="J149" t="s">
        <v>148</v>
      </c>
      <c r="K149" t="s">
        <v>148</v>
      </c>
      <c r="L149">
        <v>5</v>
      </c>
      <c r="M149" t="s">
        <v>149</v>
      </c>
      <c r="N149">
        <v>4</v>
      </c>
      <c r="O149">
        <v>1.9</v>
      </c>
      <c r="P149">
        <v>2</v>
      </c>
      <c r="Q149">
        <v>1200</v>
      </c>
      <c r="R149">
        <v>0.99912044200000005</v>
      </c>
      <c r="S149" t="s">
        <v>150</v>
      </c>
      <c r="T149">
        <v>15</v>
      </c>
      <c r="U149">
        <v>0</v>
      </c>
      <c r="V149">
        <v>15</v>
      </c>
      <c r="W149">
        <v>0</v>
      </c>
      <c r="X149" t="s">
        <v>149</v>
      </c>
      <c r="Y149" t="s">
        <v>157</v>
      </c>
    </row>
    <row r="150" spans="1:25">
      <c r="A150" t="s">
        <v>330</v>
      </c>
      <c r="B150" s="113">
        <v>43747</v>
      </c>
      <c r="C150" t="s">
        <v>145</v>
      </c>
      <c r="D150" t="s">
        <v>172</v>
      </c>
      <c r="E150">
        <v>37</v>
      </c>
      <c r="F150">
        <v>786</v>
      </c>
      <c r="G150" t="s">
        <v>147</v>
      </c>
      <c r="H150">
        <v>20788.632590000001</v>
      </c>
      <c r="J150" t="s">
        <v>148</v>
      </c>
      <c r="K150" t="s">
        <v>148</v>
      </c>
      <c r="L150">
        <v>4.5999999999999996</v>
      </c>
      <c r="M150" t="s">
        <v>149</v>
      </c>
      <c r="N150">
        <v>3</v>
      </c>
      <c r="O150">
        <v>3.9</v>
      </c>
      <c r="P150">
        <v>3</v>
      </c>
      <c r="Q150">
        <v>1100</v>
      </c>
      <c r="R150">
        <v>0.99303958599999997</v>
      </c>
      <c r="S150" t="s">
        <v>150</v>
      </c>
      <c r="T150">
        <v>14</v>
      </c>
      <c r="U150">
        <v>0</v>
      </c>
      <c r="V150">
        <v>14</v>
      </c>
      <c r="W150">
        <v>0</v>
      </c>
      <c r="X150" t="s">
        <v>149</v>
      </c>
      <c r="Y150" t="s">
        <v>157</v>
      </c>
    </row>
    <row r="151" spans="1:25">
      <c r="A151" t="s">
        <v>331</v>
      </c>
      <c r="B151" s="113">
        <v>43747</v>
      </c>
      <c r="C151" t="s">
        <v>162</v>
      </c>
      <c r="D151" t="s">
        <v>195</v>
      </c>
      <c r="E151">
        <v>40</v>
      </c>
      <c r="F151">
        <v>746</v>
      </c>
      <c r="G151" t="s">
        <v>147</v>
      </c>
      <c r="H151">
        <v>97179.281449999995</v>
      </c>
      <c r="J151" t="s">
        <v>148</v>
      </c>
      <c r="K151" t="s">
        <v>148</v>
      </c>
      <c r="L151">
        <v>0.1</v>
      </c>
      <c r="M151" t="s">
        <v>149</v>
      </c>
      <c r="N151">
        <v>5</v>
      </c>
      <c r="O151">
        <v>1.6</v>
      </c>
      <c r="P151">
        <v>2</v>
      </c>
      <c r="Q151">
        <v>1050</v>
      </c>
      <c r="R151">
        <v>0.961591105</v>
      </c>
      <c r="S151" t="s">
        <v>150</v>
      </c>
      <c r="T151">
        <v>19</v>
      </c>
      <c r="U151">
        <v>0</v>
      </c>
      <c r="V151">
        <v>19</v>
      </c>
      <c r="W151">
        <v>0</v>
      </c>
      <c r="X151" t="s">
        <v>149</v>
      </c>
      <c r="Y151" t="s">
        <v>157</v>
      </c>
    </row>
    <row r="152" spans="1:25">
      <c r="A152" t="s">
        <v>332</v>
      </c>
      <c r="B152" s="113">
        <v>43747</v>
      </c>
      <c r="C152" t="s">
        <v>162</v>
      </c>
      <c r="D152" t="s">
        <v>195</v>
      </c>
      <c r="E152">
        <v>39</v>
      </c>
      <c r="F152">
        <v>795</v>
      </c>
      <c r="G152" t="s">
        <v>176</v>
      </c>
      <c r="H152">
        <v>32478.135760000001</v>
      </c>
      <c r="J152" t="s">
        <v>170</v>
      </c>
      <c r="K152" t="s">
        <v>170</v>
      </c>
      <c r="L152">
        <v>19</v>
      </c>
      <c r="M152" t="s">
        <v>149</v>
      </c>
      <c r="N152">
        <v>6</v>
      </c>
      <c r="O152">
        <v>4.5999999999999996</v>
      </c>
      <c r="P152">
        <v>3</v>
      </c>
      <c r="Q152">
        <v>1200</v>
      </c>
      <c r="R152">
        <v>0.90557836199999997</v>
      </c>
      <c r="S152" t="s">
        <v>150</v>
      </c>
      <c r="T152">
        <v>21</v>
      </c>
      <c r="U152">
        <v>0</v>
      </c>
      <c r="V152">
        <v>21</v>
      </c>
      <c r="W152">
        <v>1</v>
      </c>
      <c r="X152" t="s">
        <v>149</v>
      </c>
      <c r="Y152" t="s">
        <v>157</v>
      </c>
    </row>
    <row r="153" spans="1:25">
      <c r="A153" t="s">
        <v>333</v>
      </c>
      <c r="B153" s="113">
        <v>43748</v>
      </c>
      <c r="C153" t="s">
        <v>159</v>
      </c>
      <c r="D153" t="s">
        <v>168</v>
      </c>
      <c r="E153">
        <v>52</v>
      </c>
      <c r="F153">
        <v>741</v>
      </c>
      <c r="G153" t="s">
        <v>169</v>
      </c>
      <c r="H153">
        <v>44199.521639999999</v>
      </c>
      <c r="I153">
        <v>44199.521639999999</v>
      </c>
      <c r="J153" t="s">
        <v>156</v>
      </c>
      <c r="K153" t="s">
        <v>156</v>
      </c>
      <c r="L153">
        <v>3.2</v>
      </c>
      <c r="M153" t="s">
        <v>151</v>
      </c>
      <c r="N153">
        <v>0</v>
      </c>
      <c r="O153">
        <v>2</v>
      </c>
      <c r="P153">
        <v>2</v>
      </c>
      <c r="Q153">
        <v>1450</v>
      </c>
      <c r="R153">
        <v>0.82643222699999996</v>
      </c>
      <c r="S153" t="s">
        <v>150</v>
      </c>
      <c r="T153">
        <v>19</v>
      </c>
      <c r="U153">
        <v>0</v>
      </c>
      <c r="V153">
        <v>19</v>
      </c>
      <c r="W153">
        <v>0</v>
      </c>
      <c r="X153" t="s">
        <v>149</v>
      </c>
      <c r="Y153" t="s">
        <v>157</v>
      </c>
    </row>
    <row r="154" spans="1:25">
      <c r="A154" t="s">
        <v>334</v>
      </c>
      <c r="B154" s="113">
        <v>43749</v>
      </c>
      <c r="C154" t="s">
        <v>145</v>
      </c>
      <c r="D154" t="s">
        <v>280</v>
      </c>
      <c r="E154">
        <v>56</v>
      </c>
      <c r="F154">
        <v>661</v>
      </c>
      <c r="G154" t="s">
        <v>176</v>
      </c>
      <c r="H154">
        <v>6357220</v>
      </c>
      <c r="I154">
        <v>6357220</v>
      </c>
      <c r="J154" t="s">
        <v>249</v>
      </c>
      <c r="K154" t="s">
        <v>249</v>
      </c>
      <c r="L154">
        <v>0.4</v>
      </c>
      <c r="M154" t="s">
        <v>149</v>
      </c>
      <c r="N154">
        <v>3</v>
      </c>
      <c r="O154">
        <v>14.8</v>
      </c>
      <c r="P154">
        <v>4</v>
      </c>
      <c r="Q154">
        <v>0</v>
      </c>
      <c r="R154">
        <v>0.72617452400000004</v>
      </c>
      <c r="S154" t="s">
        <v>198</v>
      </c>
      <c r="T154">
        <v>0</v>
      </c>
      <c r="U154">
        <v>0</v>
      </c>
      <c r="V154">
        <v>0</v>
      </c>
      <c r="W154">
        <v>0</v>
      </c>
      <c r="X154" t="s">
        <v>149</v>
      </c>
      <c r="Y154" t="s">
        <v>199</v>
      </c>
    </row>
    <row r="155" spans="1:25">
      <c r="A155" t="s">
        <v>335</v>
      </c>
      <c r="B155" s="113">
        <v>43750</v>
      </c>
      <c r="C155" t="s">
        <v>162</v>
      </c>
      <c r="D155" t="s">
        <v>163</v>
      </c>
      <c r="E155">
        <v>52</v>
      </c>
      <c r="F155">
        <v>819</v>
      </c>
      <c r="G155" t="s">
        <v>176</v>
      </c>
      <c r="H155">
        <v>47290.290820000002</v>
      </c>
      <c r="I155">
        <v>3951216</v>
      </c>
      <c r="J155" t="s">
        <v>148</v>
      </c>
      <c r="K155" t="s">
        <v>148</v>
      </c>
      <c r="L155">
        <v>0.1</v>
      </c>
      <c r="M155" t="s">
        <v>151</v>
      </c>
      <c r="N155">
        <v>3</v>
      </c>
      <c r="O155">
        <v>0.3</v>
      </c>
      <c r="P155">
        <v>2</v>
      </c>
      <c r="Q155">
        <v>2100</v>
      </c>
      <c r="R155">
        <v>0.60736637699999996</v>
      </c>
      <c r="S155" t="s">
        <v>198</v>
      </c>
      <c r="Y155" t="s">
        <v>199</v>
      </c>
    </row>
    <row r="156" spans="1:25">
      <c r="A156" t="s">
        <v>336</v>
      </c>
      <c r="B156" s="113">
        <v>43750</v>
      </c>
      <c r="C156" t="s">
        <v>162</v>
      </c>
      <c r="D156" t="s">
        <v>193</v>
      </c>
      <c r="E156">
        <v>54</v>
      </c>
      <c r="F156">
        <v>831</v>
      </c>
      <c r="G156" t="s">
        <v>176</v>
      </c>
      <c r="H156">
        <v>9216.8402019999994</v>
      </c>
      <c r="I156">
        <v>6357220</v>
      </c>
      <c r="J156" t="s">
        <v>148</v>
      </c>
      <c r="K156" t="s">
        <v>148</v>
      </c>
      <c r="L156">
        <v>6.5</v>
      </c>
      <c r="M156" t="s">
        <v>149</v>
      </c>
      <c r="N156">
        <v>2</v>
      </c>
      <c r="O156">
        <v>0.3</v>
      </c>
      <c r="P156">
        <v>3</v>
      </c>
      <c r="Q156">
        <v>1300</v>
      </c>
      <c r="R156">
        <v>0.47304279300000002</v>
      </c>
      <c r="S156" t="s">
        <v>198</v>
      </c>
      <c r="Y156" t="s">
        <v>199</v>
      </c>
    </row>
    <row r="157" spans="1:25">
      <c r="A157" t="s">
        <v>337</v>
      </c>
      <c r="B157" s="113">
        <v>43751</v>
      </c>
      <c r="C157" t="s">
        <v>162</v>
      </c>
      <c r="D157" t="s">
        <v>193</v>
      </c>
      <c r="E157">
        <v>49</v>
      </c>
      <c r="F157">
        <v>696</v>
      </c>
      <c r="G157" t="s">
        <v>155</v>
      </c>
      <c r="H157">
        <v>20416.58871</v>
      </c>
      <c r="I157">
        <v>3248013</v>
      </c>
      <c r="J157" t="s">
        <v>148</v>
      </c>
      <c r="K157" t="s">
        <v>148</v>
      </c>
      <c r="L157">
        <v>0.3</v>
      </c>
      <c r="M157" t="s">
        <v>149</v>
      </c>
      <c r="N157">
        <v>1</v>
      </c>
      <c r="O157">
        <v>30</v>
      </c>
      <c r="P157">
        <v>3</v>
      </c>
      <c r="Q157">
        <v>2000</v>
      </c>
      <c r="R157">
        <v>0.326635126</v>
      </c>
      <c r="S157" t="s">
        <v>198</v>
      </c>
      <c r="Y157" t="s">
        <v>199</v>
      </c>
    </row>
    <row r="158" spans="1:25">
      <c r="A158" t="s">
        <v>338</v>
      </c>
      <c r="B158" s="113">
        <v>43751</v>
      </c>
      <c r="C158" t="s">
        <v>162</v>
      </c>
      <c r="D158" t="s">
        <v>187</v>
      </c>
      <c r="E158">
        <v>27</v>
      </c>
      <c r="F158">
        <v>651</v>
      </c>
      <c r="G158" t="s">
        <v>147</v>
      </c>
      <c r="H158">
        <v>21981.016490000002</v>
      </c>
      <c r="I158">
        <v>2560321</v>
      </c>
      <c r="J158" t="s">
        <v>181</v>
      </c>
      <c r="K158" t="s">
        <v>181</v>
      </c>
      <c r="L158">
        <v>0.4</v>
      </c>
      <c r="M158" t="s">
        <v>149</v>
      </c>
      <c r="N158">
        <v>3</v>
      </c>
      <c r="O158">
        <v>2.8</v>
      </c>
      <c r="P158">
        <v>2</v>
      </c>
      <c r="Q158">
        <v>950</v>
      </c>
      <c r="R158">
        <v>0.17188342300000001</v>
      </c>
      <c r="S158" t="s">
        <v>150</v>
      </c>
      <c r="T158">
        <v>15</v>
      </c>
      <c r="U158">
        <v>1</v>
      </c>
      <c r="V158">
        <v>15</v>
      </c>
      <c r="W158">
        <v>0</v>
      </c>
      <c r="X158" t="s">
        <v>149</v>
      </c>
      <c r="Y158" t="s">
        <v>157</v>
      </c>
    </row>
    <row r="159" spans="1:25">
      <c r="A159" t="s">
        <v>339</v>
      </c>
      <c r="B159" s="113">
        <v>43752</v>
      </c>
      <c r="C159" t="s">
        <v>145</v>
      </c>
      <c r="D159" t="s">
        <v>172</v>
      </c>
      <c r="E159">
        <v>48</v>
      </c>
      <c r="F159">
        <v>778</v>
      </c>
      <c r="G159" t="s">
        <v>169</v>
      </c>
      <c r="H159">
        <v>25377.662530000001</v>
      </c>
      <c r="I159">
        <v>4143706</v>
      </c>
      <c r="J159" t="s">
        <v>148</v>
      </c>
      <c r="K159" t="s">
        <v>148</v>
      </c>
      <c r="L159">
        <v>7.4</v>
      </c>
      <c r="M159" t="s">
        <v>149</v>
      </c>
      <c r="N159">
        <v>3</v>
      </c>
      <c r="O159">
        <v>11.1</v>
      </c>
      <c r="P159">
        <v>2</v>
      </c>
      <c r="Q159">
        <v>1350</v>
      </c>
      <c r="R159">
        <v>1.2740883999999999E-2</v>
      </c>
      <c r="S159" t="s">
        <v>150</v>
      </c>
      <c r="T159">
        <v>22</v>
      </c>
      <c r="U159">
        <v>0</v>
      </c>
      <c r="V159">
        <v>22</v>
      </c>
      <c r="W159">
        <v>0</v>
      </c>
      <c r="X159" t="s">
        <v>151</v>
      </c>
      <c r="Y159" t="s">
        <v>152</v>
      </c>
    </row>
    <row r="160" spans="1:25">
      <c r="A160" t="s">
        <v>340</v>
      </c>
      <c r="B160" s="113">
        <v>43756</v>
      </c>
      <c r="C160" t="s">
        <v>159</v>
      </c>
      <c r="D160" t="s">
        <v>165</v>
      </c>
      <c r="E160">
        <v>39</v>
      </c>
      <c r="F160">
        <v>660</v>
      </c>
      <c r="G160" t="s">
        <v>155</v>
      </c>
      <c r="H160">
        <v>64268.23777</v>
      </c>
      <c r="I160">
        <v>5560637</v>
      </c>
      <c r="J160" t="s">
        <v>170</v>
      </c>
      <c r="K160" t="s">
        <v>166</v>
      </c>
      <c r="L160">
        <v>2.6</v>
      </c>
      <c r="M160" t="s">
        <v>149</v>
      </c>
      <c r="N160">
        <v>4</v>
      </c>
      <c r="O160">
        <v>1.6</v>
      </c>
      <c r="P160">
        <v>3</v>
      </c>
      <c r="Q160">
        <v>1400</v>
      </c>
      <c r="R160">
        <v>0.14672712700000001</v>
      </c>
      <c r="S160" t="s">
        <v>150</v>
      </c>
      <c r="T160">
        <v>17</v>
      </c>
      <c r="U160">
        <v>0</v>
      </c>
      <c r="V160">
        <v>17</v>
      </c>
      <c r="W160">
        <v>0</v>
      </c>
      <c r="X160" t="s">
        <v>149</v>
      </c>
      <c r="Y160" t="s">
        <v>157</v>
      </c>
    </row>
    <row r="161" spans="1:25">
      <c r="A161" t="s">
        <v>341</v>
      </c>
      <c r="B161" s="113">
        <v>43756</v>
      </c>
      <c r="C161" t="s">
        <v>159</v>
      </c>
      <c r="D161" t="s">
        <v>197</v>
      </c>
      <c r="E161">
        <v>40</v>
      </c>
      <c r="F161">
        <v>784</v>
      </c>
      <c r="G161" t="s">
        <v>169</v>
      </c>
      <c r="H161">
        <v>142682.18789999999</v>
      </c>
      <c r="I161">
        <v>4866103</v>
      </c>
      <c r="J161" t="s">
        <v>148</v>
      </c>
      <c r="K161" t="s">
        <v>148</v>
      </c>
      <c r="L161">
        <v>3.4</v>
      </c>
      <c r="M161" t="s">
        <v>149</v>
      </c>
      <c r="N161">
        <v>0</v>
      </c>
      <c r="O161">
        <v>0.8</v>
      </c>
      <c r="P161">
        <v>3</v>
      </c>
      <c r="Q161">
        <v>1250</v>
      </c>
      <c r="R161">
        <v>0.30244692899999998</v>
      </c>
      <c r="S161" t="s">
        <v>150</v>
      </c>
      <c r="T161">
        <v>15</v>
      </c>
      <c r="U161">
        <v>0</v>
      </c>
      <c r="V161">
        <v>15</v>
      </c>
      <c r="W161">
        <v>0</v>
      </c>
      <c r="X161" t="s">
        <v>149</v>
      </c>
      <c r="Y161" t="s">
        <v>157</v>
      </c>
    </row>
    <row r="162" spans="1:25">
      <c r="A162" t="s">
        <v>342</v>
      </c>
      <c r="B162" s="113">
        <v>43757</v>
      </c>
      <c r="C162" t="s">
        <v>145</v>
      </c>
      <c r="D162" t="s">
        <v>280</v>
      </c>
      <c r="E162">
        <v>69</v>
      </c>
      <c r="F162">
        <v>748</v>
      </c>
      <c r="G162" t="s">
        <v>176</v>
      </c>
      <c r="H162">
        <v>25035.160049999999</v>
      </c>
      <c r="I162">
        <v>6807811</v>
      </c>
      <c r="J162" t="s">
        <v>148</v>
      </c>
      <c r="K162" t="s">
        <v>148</v>
      </c>
      <c r="L162">
        <v>1.2</v>
      </c>
      <c r="M162" t="s">
        <v>149</v>
      </c>
      <c r="N162">
        <v>2</v>
      </c>
      <c r="O162">
        <v>2.1</v>
      </c>
      <c r="P162">
        <v>3</v>
      </c>
      <c r="Q162">
        <v>1100</v>
      </c>
      <c r="R162">
        <v>0.45044059400000003</v>
      </c>
      <c r="S162" t="s">
        <v>150</v>
      </c>
      <c r="T162">
        <v>20</v>
      </c>
      <c r="U162">
        <v>2</v>
      </c>
      <c r="V162">
        <v>20</v>
      </c>
      <c r="W162">
        <v>0</v>
      </c>
      <c r="X162" t="s">
        <v>149</v>
      </c>
      <c r="Y162" t="s">
        <v>157</v>
      </c>
    </row>
    <row r="163" spans="1:25">
      <c r="A163" t="s">
        <v>343</v>
      </c>
      <c r="B163" s="113">
        <v>43758</v>
      </c>
      <c r="C163" t="s">
        <v>162</v>
      </c>
      <c r="D163" t="s">
        <v>163</v>
      </c>
      <c r="E163">
        <v>50</v>
      </c>
      <c r="F163">
        <v>699</v>
      </c>
      <c r="G163" t="s">
        <v>155</v>
      </c>
      <c r="H163">
        <v>68413.912979999994</v>
      </c>
      <c r="I163">
        <v>3650009</v>
      </c>
      <c r="J163" t="s">
        <v>148</v>
      </c>
      <c r="K163" t="s">
        <v>148</v>
      </c>
      <c r="L163">
        <v>0.5</v>
      </c>
      <c r="M163" t="s">
        <v>149</v>
      </c>
      <c r="N163">
        <v>2</v>
      </c>
      <c r="O163">
        <v>2.5</v>
      </c>
      <c r="P163">
        <v>3</v>
      </c>
      <c r="Q163">
        <v>800</v>
      </c>
      <c r="R163">
        <v>0.58692755900000004</v>
      </c>
      <c r="S163" t="s">
        <v>150</v>
      </c>
      <c r="T163">
        <v>14</v>
      </c>
      <c r="U163">
        <v>1</v>
      </c>
      <c r="V163">
        <v>14</v>
      </c>
      <c r="W163">
        <v>0</v>
      </c>
      <c r="X163" t="s">
        <v>151</v>
      </c>
      <c r="Y163" t="s">
        <v>152</v>
      </c>
    </row>
    <row r="164" spans="1:25">
      <c r="A164" t="s">
        <v>344</v>
      </c>
      <c r="B164" s="113">
        <v>43758</v>
      </c>
      <c r="C164" t="s">
        <v>145</v>
      </c>
      <c r="D164" t="s">
        <v>172</v>
      </c>
      <c r="E164">
        <v>51</v>
      </c>
      <c r="F164">
        <v>267</v>
      </c>
      <c r="G164" t="s">
        <v>176</v>
      </c>
      <c r="H164">
        <v>85939.997440000006</v>
      </c>
      <c r="I164">
        <v>4645528</v>
      </c>
      <c r="J164" t="s">
        <v>156</v>
      </c>
      <c r="K164" t="s">
        <v>166</v>
      </c>
      <c r="L164">
        <v>0.4</v>
      </c>
      <c r="M164" t="s">
        <v>149</v>
      </c>
      <c r="N164">
        <v>1</v>
      </c>
      <c r="O164">
        <v>8.6999999999999993</v>
      </c>
      <c r="P164">
        <v>2</v>
      </c>
      <c r="Q164">
        <v>950</v>
      </c>
      <c r="R164">
        <v>0.70842120500000005</v>
      </c>
      <c r="S164" t="s">
        <v>150</v>
      </c>
      <c r="T164">
        <v>21</v>
      </c>
      <c r="U164">
        <v>0</v>
      </c>
      <c r="V164">
        <v>21</v>
      </c>
      <c r="W164">
        <v>0</v>
      </c>
      <c r="X164" t="s">
        <v>151</v>
      </c>
      <c r="Y164" t="s">
        <v>152</v>
      </c>
    </row>
    <row r="165" spans="1:25">
      <c r="A165" t="s">
        <v>345</v>
      </c>
      <c r="B165" s="113">
        <v>43761</v>
      </c>
      <c r="C165" t="s">
        <v>162</v>
      </c>
      <c r="D165" t="s">
        <v>190</v>
      </c>
      <c r="E165">
        <v>41</v>
      </c>
      <c r="F165">
        <v>640</v>
      </c>
      <c r="G165" t="s">
        <v>147</v>
      </c>
      <c r="H165">
        <v>64604.239260000002</v>
      </c>
      <c r="I165">
        <v>3237179</v>
      </c>
      <c r="J165" t="s">
        <v>249</v>
      </c>
      <c r="K165" t="s">
        <v>249</v>
      </c>
      <c r="L165">
        <v>3</v>
      </c>
      <c r="M165" t="s">
        <v>149</v>
      </c>
      <c r="N165">
        <v>1</v>
      </c>
      <c r="O165">
        <v>7.2</v>
      </c>
      <c r="P165">
        <v>3</v>
      </c>
      <c r="Q165">
        <v>1200</v>
      </c>
      <c r="R165">
        <v>0.81181792399999997</v>
      </c>
      <c r="S165" t="s">
        <v>150</v>
      </c>
      <c r="T165">
        <v>14</v>
      </c>
      <c r="U165">
        <v>1</v>
      </c>
      <c r="V165">
        <v>14</v>
      </c>
      <c r="W165">
        <v>0</v>
      </c>
      <c r="X165" t="s">
        <v>149</v>
      </c>
      <c r="Y165" t="s">
        <v>157</v>
      </c>
    </row>
    <row r="166" spans="1:25">
      <c r="A166" t="s">
        <v>346</v>
      </c>
      <c r="B166" s="113">
        <v>43763</v>
      </c>
      <c r="C166" t="s">
        <v>159</v>
      </c>
      <c r="D166" t="s">
        <v>168</v>
      </c>
      <c r="E166">
        <v>48</v>
      </c>
      <c r="F166">
        <v>734</v>
      </c>
      <c r="G166" t="s">
        <v>147</v>
      </c>
      <c r="H166">
        <v>46684.551379999997</v>
      </c>
      <c r="I166">
        <v>3228486</v>
      </c>
      <c r="J166" t="s">
        <v>148</v>
      </c>
      <c r="K166" t="s">
        <v>148</v>
      </c>
      <c r="L166">
        <v>1.2</v>
      </c>
      <c r="M166" t="s">
        <v>149</v>
      </c>
      <c r="N166">
        <v>3</v>
      </c>
      <c r="O166">
        <v>7.5</v>
      </c>
      <c r="P166">
        <v>2</v>
      </c>
      <c r="Q166">
        <v>1600</v>
      </c>
      <c r="R166">
        <v>0.89447640299999998</v>
      </c>
      <c r="S166" t="s">
        <v>150</v>
      </c>
      <c r="T166">
        <v>23</v>
      </c>
      <c r="U166">
        <v>1</v>
      </c>
      <c r="V166">
        <v>23</v>
      </c>
      <c r="W166">
        <v>0</v>
      </c>
      <c r="X166" t="s">
        <v>149</v>
      </c>
      <c r="Y166" t="s">
        <v>157</v>
      </c>
    </row>
    <row r="167" spans="1:25">
      <c r="A167" t="s">
        <v>347</v>
      </c>
      <c r="B167" s="113">
        <v>43764</v>
      </c>
      <c r="C167" t="s">
        <v>162</v>
      </c>
      <c r="D167" t="s">
        <v>179</v>
      </c>
      <c r="E167">
        <v>28</v>
      </c>
      <c r="F167">
        <v>632</v>
      </c>
      <c r="G167" t="s">
        <v>147</v>
      </c>
      <c r="H167">
        <v>61173.55616</v>
      </c>
      <c r="I167">
        <v>5513718</v>
      </c>
      <c r="J167" t="s">
        <v>148</v>
      </c>
      <c r="K167" t="s">
        <v>148</v>
      </c>
      <c r="L167">
        <v>6.5</v>
      </c>
      <c r="M167" t="s">
        <v>149</v>
      </c>
      <c r="N167">
        <v>3</v>
      </c>
      <c r="O167">
        <v>18.899999999999999</v>
      </c>
      <c r="P167">
        <v>2</v>
      </c>
      <c r="Q167">
        <v>800</v>
      </c>
      <c r="R167">
        <v>0.95428509399999994</v>
      </c>
      <c r="S167" t="s">
        <v>150</v>
      </c>
      <c r="T167">
        <v>6</v>
      </c>
      <c r="U167">
        <v>0</v>
      </c>
      <c r="V167">
        <v>6</v>
      </c>
      <c r="W167">
        <v>0</v>
      </c>
      <c r="X167" t="s">
        <v>151</v>
      </c>
      <c r="Y167" t="s">
        <v>152</v>
      </c>
    </row>
    <row r="168" spans="1:25">
      <c r="A168" t="s">
        <v>348</v>
      </c>
      <c r="B168" s="113">
        <v>43766</v>
      </c>
      <c r="C168" t="s">
        <v>159</v>
      </c>
      <c r="D168" t="s">
        <v>168</v>
      </c>
      <c r="E168">
        <v>29</v>
      </c>
      <c r="F168">
        <v>743</v>
      </c>
      <c r="G168" t="s">
        <v>155</v>
      </c>
      <c r="H168">
        <v>108945.0744</v>
      </c>
      <c r="I168">
        <v>4008426</v>
      </c>
      <c r="J168" t="s">
        <v>148</v>
      </c>
      <c r="K168" t="s">
        <v>148</v>
      </c>
      <c r="L168">
        <v>0.9</v>
      </c>
      <c r="M168" t="s">
        <v>149</v>
      </c>
      <c r="N168">
        <v>4</v>
      </c>
      <c r="O168">
        <v>0.8</v>
      </c>
      <c r="P168">
        <v>4</v>
      </c>
      <c r="Q168">
        <v>2000</v>
      </c>
      <c r="R168">
        <v>0.98971615999999996</v>
      </c>
      <c r="S168" t="s">
        <v>150</v>
      </c>
      <c r="T168">
        <v>23</v>
      </c>
      <c r="U168">
        <v>0</v>
      </c>
      <c r="V168">
        <v>23</v>
      </c>
      <c r="W168">
        <v>0</v>
      </c>
      <c r="X168" t="s">
        <v>151</v>
      </c>
      <c r="Y168" t="s">
        <v>152</v>
      </c>
    </row>
    <row r="169" spans="1:25">
      <c r="A169" t="s">
        <v>349</v>
      </c>
      <c r="B169" s="113">
        <v>43767</v>
      </c>
      <c r="C169" t="s">
        <v>145</v>
      </c>
      <c r="D169" t="s">
        <v>146</v>
      </c>
      <c r="E169">
        <v>42</v>
      </c>
      <c r="F169">
        <v>705</v>
      </c>
      <c r="G169" t="s">
        <v>176</v>
      </c>
      <c r="H169">
        <v>25724.353810000001</v>
      </c>
      <c r="I169">
        <v>6780440</v>
      </c>
      <c r="J169" t="s">
        <v>148</v>
      </c>
      <c r="K169" t="s">
        <v>148</v>
      </c>
      <c r="L169">
        <v>1.8</v>
      </c>
      <c r="M169" t="s">
        <v>149</v>
      </c>
      <c r="N169">
        <v>1</v>
      </c>
      <c r="O169">
        <v>4.5999999999999996</v>
      </c>
      <c r="P169">
        <v>3</v>
      </c>
      <c r="Q169">
        <v>1450</v>
      </c>
      <c r="R169">
        <v>0.99986449700000002</v>
      </c>
      <c r="S169" t="s">
        <v>150</v>
      </c>
      <c r="T169">
        <v>15</v>
      </c>
      <c r="U169">
        <v>0</v>
      </c>
      <c r="V169">
        <v>15</v>
      </c>
      <c r="W169">
        <v>0</v>
      </c>
      <c r="X169" t="s">
        <v>151</v>
      </c>
      <c r="Y169" t="s">
        <v>152</v>
      </c>
    </row>
    <row r="170" spans="1:25">
      <c r="A170" t="s">
        <v>350</v>
      </c>
      <c r="B170" s="113">
        <v>43768</v>
      </c>
      <c r="C170" t="s">
        <v>162</v>
      </c>
      <c r="D170" t="s">
        <v>163</v>
      </c>
      <c r="E170">
        <v>57</v>
      </c>
      <c r="F170">
        <v>546</v>
      </c>
      <c r="G170" t="s">
        <v>147</v>
      </c>
      <c r="H170">
        <v>85538.449819999994</v>
      </c>
      <c r="I170">
        <v>5280975</v>
      </c>
      <c r="J170" t="s">
        <v>148</v>
      </c>
      <c r="K170" t="s">
        <v>148</v>
      </c>
      <c r="L170">
        <v>0.6</v>
      </c>
      <c r="M170" t="s">
        <v>149</v>
      </c>
      <c r="N170">
        <v>0</v>
      </c>
      <c r="O170">
        <v>5.8</v>
      </c>
      <c r="P170">
        <v>2</v>
      </c>
      <c r="Q170">
        <v>1750</v>
      </c>
      <c r="R170">
        <v>0.984470862</v>
      </c>
      <c r="S170" t="s">
        <v>150</v>
      </c>
      <c r="T170">
        <v>23</v>
      </c>
      <c r="U170">
        <v>1</v>
      </c>
      <c r="V170">
        <v>23</v>
      </c>
      <c r="W170">
        <v>0</v>
      </c>
      <c r="X170" t="s">
        <v>149</v>
      </c>
      <c r="Y170" t="s">
        <v>157</v>
      </c>
    </row>
    <row r="171" spans="1:25">
      <c r="A171" t="s">
        <v>351</v>
      </c>
      <c r="B171" s="113">
        <v>43769</v>
      </c>
      <c r="C171" t="s">
        <v>145</v>
      </c>
      <c r="D171" t="s">
        <v>280</v>
      </c>
      <c r="E171">
        <v>46</v>
      </c>
      <c r="F171">
        <v>787</v>
      </c>
      <c r="G171" t="s">
        <v>147</v>
      </c>
      <c r="H171">
        <v>3248013</v>
      </c>
      <c r="I171">
        <v>3248013</v>
      </c>
      <c r="J171" t="s">
        <v>221</v>
      </c>
      <c r="K171" t="s">
        <v>221</v>
      </c>
      <c r="L171">
        <v>2.9</v>
      </c>
      <c r="M171" t="s">
        <v>149</v>
      </c>
      <c r="N171">
        <v>0</v>
      </c>
      <c r="O171">
        <v>1.9</v>
      </c>
      <c r="P171">
        <v>4</v>
      </c>
      <c r="Q171">
        <v>0</v>
      </c>
      <c r="R171">
        <v>0.94392849300000004</v>
      </c>
      <c r="S171" t="s">
        <v>198</v>
      </c>
      <c r="T171">
        <v>0</v>
      </c>
      <c r="U171">
        <v>0</v>
      </c>
      <c r="V171">
        <v>0</v>
      </c>
      <c r="W171">
        <v>0</v>
      </c>
      <c r="X171" t="s">
        <v>149</v>
      </c>
      <c r="Y171" t="s">
        <v>199</v>
      </c>
    </row>
    <row r="172" spans="1:25">
      <c r="A172" t="s">
        <v>352</v>
      </c>
      <c r="B172" s="113">
        <v>43772</v>
      </c>
      <c r="C172" t="s">
        <v>159</v>
      </c>
      <c r="D172" t="s">
        <v>197</v>
      </c>
      <c r="E172">
        <v>41</v>
      </c>
      <c r="F172">
        <v>683</v>
      </c>
      <c r="G172" t="s">
        <v>169</v>
      </c>
      <c r="H172">
        <v>22615.151600000001</v>
      </c>
      <c r="I172">
        <v>5178397</v>
      </c>
      <c r="J172" t="s">
        <v>156</v>
      </c>
      <c r="K172" t="s">
        <v>156</v>
      </c>
      <c r="L172">
        <v>4.7</v>
      </c>
      <c r="M172" t="s">
        <v>149</v>
      </c>
      <c r="N172">
        <v>2</v>
      </c>
      <c r="O172">
        <v>5.2</v>
      </c>
      <c r="P172">
        <v>2</v>
      </c>
      <c r="Q172">
        <v>1600</v>
      </c>
      <c r="R172">
        <v>0.87927306199999999</v>
      </c>
      <c r="S172" t="s">
        <v>150</v>
      </c>
      <c r="T172">
        <v>16</v>
      </c>
      <c r="U172">
        <v>1</v>
      </c>
      <c r="V172">
        <v>16</v>
      </c>
      <c r="W172">
        <v>0</v>
      </c>
      <c r="X172" t="s">
        <v>149</v>
      </c>
      <c r="Y172" t="s">
        <v>157</v>
      </c>
    </row>
    <row r="173" spans="1:25">
      <c r="A173" t="s">
        <v>353</v>
      </c>
      <c r="B173" s="113">
        <v>43773</v>
      </c>
      <c r="C173" t="s">
        <v>162</v>
      </c>
      <c r="D173" t="s">
        <v>163</v>
      </c>
      <c r="E173">
        <v>60</v>
      </c>
      <c r="F173">
        <v>605</v>
      </c>
      <c r="G173" t="s">
        <v>147</v>
      </c>
      <c r="H173">
        <v>65395.628799999999</v>
      </c>
      <c r="I173">
        <v>3111935</v>
      </c>
      <c r="J173" t="s">
        <v>148</v>
      </c>
      <c r="K173" t="s">
        <v>148</v>
      </c>
      <c r="L173">
        <v>0.1</v>
      </c>
      <c r="M173" t="s">
        <v>149</v>
      </c>
      <c r="N173">
        <v>1</v>
      </c>
      <c r="O173">
        <v>11.9</v>
      </c>
      <c r="P173">
        <v>3</v>
      </c>
      <c r="Q173">
        <v>1950</v>
      </c>
      <c r="R173">
        <v>0.79215621899999999</v>
      </c>
      <c r="S173" t="s">
        <v>198</v>
      </c>
      <c r="Y173" t="s">
        <v>199</v>
      </c>
    </row>
    <row r="174" spans="1:25">
      <c r="A174" t="s">
        <v>354</v>
      </c>
      <c r="B174" s="113">
        <v>43774</v>
      </c>
      <c r="C174" t="s">
        <v>162</v>
      </c>
      <c r="D174" t="s">
        <v>163</v>
      </c>
      <c r="E174">
        <v>57</v>
      </c>
      <c r="F174">
        <v>650</v>
      </c>
      <c r="G174" t="s">
        <v>169</v>
      </c>
      <c r="H174">
        <v>48411.674310000002</v>
      </c>
      <c r="I174">
        <v>48411.674310000002</v>
      </c>
      <c r="J174" t="s">
        <v>148</v>
      </c>
      <c r="K174" t="s">
        <v>148</v>
      </c>
      <c r="L174">
        <v>0.6</v>
      </c>
      <c r="M174" t="s">
        <v>149</v>
      </c>
      <c r="N174">
        <v>4</v>
      </c>
      <c r="O174">
        <v>1.5</v>
      </c>
      <c r="P174">
        <v>3</v>
      </c>
      <c r="Q174">
        <v>950</v>
      </c>
      <c r="R174">
        <v>0.68480340200000001</v>
      </c>
      <c r="S174" t="s">
        <v>150</v>
      </c>
      <c r="T174">
        <v>19</v>
      </c>
      <c r="U174">
        <v>0</v>
      </c>
      <c r="V174">
        <v>19</v>
      </c>
      <c r="W174">
        <v>0</v>
      </c>
      <c r="X174" t="s">
        <v>149</v>
      </c>
      <c r="Y174" t="s">
        <v>157</v>
      </c>
    </row>
    <row r="175" spans="1:25">
      <c r="A175" t="s">
        <v>355</v>
      </c>
      <c r="B175" s="113">
        <v>43774</v>
      </c>
      <c r="C175" t="s">
        <v>159</v>
      </c>
      <c r="D175" t="s">
        <v>168</v>
      </c>
      <c r="E175">
        <v>41</v>
      </c>
      <c r="F175">
        <v>722</v>
      </c>
      <c r="G175" t="s">
        <v>147</v>
      </c>
      <c r="H175">
        <v>78430.026979999995</v>
      </c>
      <c r="I175">
        <v>78430.026979999995</v>
      </c>
      <c r="J175" t="s">
        <v>183</v>
      </c>
      <c r="K175" t="s">
        <v>183</v>
      </c>
      <c r="L175">
        <v>3.9</v>
      </c>
      <c r="M175" t="s">
        <v>149</v>
      </c>
      <c r="N175">
        <v>1</v>
      </c>
      <c r="O175">
        <v>4.2</v>
      </c>
      <c r="P175">
        <v>2</v>
      </c>
      <c r="Q175">
        <v>1250</v>
      </c>
      <c r="R175">
        <v>0.55995698599999999</v>
      </c>
      <c r="S175" t="s">
        <v>150</v>
      </c>
      <c r="T175">
        <v>12</v>
      </c>
      <c r="U175">
        <v>0</v>
      </c>
      <c r="V175">
        <v>12</v>
      </c>
      <c r="W175">
        <v>0</v>
      </c>
      <c r="X175" t="s">
        <v>149</v>
      </c>
      <c r="Y175" t="s">
        <v>157</v>
      </c>
    </row>
    <row r="176" spans="1:25">
      <c r="A176" t="s">
        <v>356</v>
      </c>
      <c r="B176" s="113">
        <v>43774</v>
      </c>
      <c r="C176" t="s">
        <v>159</v>
      </c>
      <c r="D176" t="s">
        <v>165</v>
      </c>
      <c r="E176">
        <v>43</v>
      </c>
      <c r="F176">
        <v>671</v>
      </c>
      <c r="G176" t="s">
        <v>176</v>
      </c>
      <c r="H176">
        <v>26815.066859999999</v>
      </c>
      <c r="I176">
        <v>26815.066859999999</v>
      </c>
      <c r="J176" t="s">
        <v>148</v>
      </c>
      <c r="K176" t="s">
        <v>148</v>
      </c>
      <c r="L176">
        <v>0.1</v>
      </c>
      <c r="M176" t="s">
        <v>149</v>
      </c>
      <c r="N176">
        <v>1</v>
      </c>
      <c r="O176">
        <v>17.899999999999999</v>
      </c>
      <c r="P176">
        <v>3</v>
      </c>
      <c r="Q176">
        <v>1250</v>
      </c>
      <c r="R176">
        <v>0.42080622600000001</v>
      </c>
      <c r="S176" t="s">
        <v>198</v>
      </c>
      <c r="Y176" t="s">
        <v>199</v>
      </c>
    </row>
    <row r="177" spans="1:25">
      <c r="A177" t="s">
        <v>357</v>
      </c>
      <c r="B177" s="113">
        <v>43777</v>
      </c>
      <c r="C177" t="s">
        <v>162</v>
      </c>
      <c r="D177" t="s">
        <v>163</v>
      </c>
      <c r="E177">
        <v>45</v>
      </c>
      <c r="F177">
        <v>813</v>
      </c>
      <c r="G177" t="s">
        <v>169</v>
      </c>
      <c r="H177">
        <v>75685.90148</v>
      </c>
      <c r="I177">
        <v>75685.90148</v>
      </c>
      <c r="J177" t="s">
        <v>183</v>
      </c>
      <c r="K177" t="s">
        <v>183</v>
      </c>
      <c r="L177">
        <v>2.8</v>
      </c>
      <c r="M177" t="s">
        <v>151</v>
      </c>
      <c r="N177">
        <v>4</v>
      </c>
      <c r="O177">
        <v>4.7</v>
      </c>
      <c r="P177">
        <v>3</v>
      </c>
      <c r="Q177">
        <v>800</v>
      </c>
      <c r="R177">
        <v>0.27090578799999998</v>
      </c>
      <c r="S177" t="s">
        <v>150</v>
      </c>
      <c r="T177">
        <v>20</v>
      </c>
      <c r="U177">
        <v>0</v>
      </c>
      <c r="V177">
        <v>20</v>
      </c>
      <c r="W177">
        <v>0</v>
      </c>
      <c r="X177" t="s">
        <v>149</v>
      </c>
      <c r="Y177" t="s">
        <v>157</v>
      </c>
    </row>
    <row r="178" spans="1:25">
      <c r="A178" t="s">
        <v>358</v>
      </c>
      <c r="B178" s="113">
        <v>43783</v>
      </c>
      <c r="C178" t="s">
        <v>145</v>
      </c>
      <c r="D178" t="s">
        <v>280</v>
      </c>
      <c r="E178">
        <v>56</v>
      </c>
      <c r="F178">
        <v>764</v>
      </c>
      <c r="G178" t="s">
        <v>155</v>
      </c>
      <c r="H178">
        <v>2560321</v>
      </c>
      <c r="I178">
        <v>2560321</v>
      </c>
      <c r="J178" t="s">
        <v>221</v>
      </c>
      <c r="K178" t="s">
        <v>221</v>
      </c>
      <c r="L178">
        <v>1.6</v>
      </c>
      <c r="M178" t="s">
        <v>149</v>
      </c>
      <c r="N178">
        <v>8</v>
      </c>
      <c r="O178">
        <v>13.1</v>
      </c>
      <c r="P178">
        <v>1</v>
      </c>
      <c r="Q178">
        <v>0</v>
      </c>
      <c r="R178">
        <v>0.11408494499999999</v>
      </c>
      <c r="S178" t="s">
        <v>198</v>
      </c>
      <c r="T178">
        <v>0</v>
      </c>
      <c r="U178">
        <v>0</v>
      </c>
      <c r="V178">
        <v>0</v>
      </c>
      <c r="W178">
        <v>0</v>
      </c>
      <c r="X178" t="s">
        <v>151</v>
      </c>
      <c r="Y178" t="s">
        <v>199</v>
      </c>
    </row>
    <row r="179" spans="1:25">
      <c r="A179" t="s">
        <v>359</v>
      </c>
      <c r="B179" s="113">
        <v>43784</v>
      </c>
      <c r="C179" t="s">
        <v>162</v>
      </c>
      <c r="D179" t="s">
        <v>187</v>
      </c>
      <c r="E179">
        <v>33</v>
      </c>
      <c r="F179">
        <v>575</v>
      </c>
      <c r="G179" t="s">
        <v>147</v>
      </c>
      <c r="H179">
        <v>51132.329140000002</v>
      </c>
      <c r="I179">
        <v>51132.329140000002</v>
      </c>
      <c r="J179" t="s">
        <v>148</v>
      </c>
      <c r="K179" t="s">
        <v>148</v>
      </c>
      <c r="L179">
        <v>5.9</v>
      </c>
      <c r="M179" t="s">
        <v>149</v>
      </c>
      <c r="N179">
        <v>2</v>
      </c>
      <c r="O179">
        <v>6</v>
      </c>
      <c r="P179">
        <v>4</v>
      </c>
      <c r="Q179">
        <v>800</v>
      </c>
      <c r="R179">
        <v>4.5650246999999998E-2</v>
      </c>
      <c r="S179" t="s">
        <v>150</v>
      </c>
      <c r="T179">
        <v>8</v>
      </c>
      <c r="U179">
        <v>0</v>
      </c>
      <c r="V179">
        <v>8</v>
      </c>
      <c r="W179">
        <v>0</v>
      </c>
      <c r="X179" t="s">
        <v>151</v>
      </c>
      <c r="Y179" t="s">
        <v>152</v>
      </c>
    </row>
    <row r="180" spans="1:25">
      <c r="A180" t="s">
        <v>360</v>
      </c>
      <c r="B180" s="113">
        <v>43788</v>
      </c>
      <c r="C180" t="s">
        <v>162</v>
      </c>
      <c r="D180" t="s">
        <v>187</v>
      </c>
      <c r="E180">
        <v>32</v>
      </c>
      <c r="F180">
        <v>726</v>
      </c>
      <c r="G180" t="s">
        <v>176</v>
      </c>
      <c r="H180">
        <v>31767.231479999999</v>
      </c>
      <c r="I180">
        <v>31767.231479999999</v>
      </c>
      <c r="J180" t="s">
        <v>148</v>
      </c>
      <c r="K180" t="s">
        <v>148</v>
      </c>
      <c r="L180">
        <v>1.5</v>
      </c>
      <c r="M180" t="s">
        <v>149</v>
      </c>
      <c r="N180">
        <v>2</v>
      </c>
      <c r="O180">
        <v>2</v>
      </c>
      <c r="P180">
        <v>1</v>
      </c>
      <c r="Q180">
        <v>1400</v>
      </c>
      <c r="R180">
        <v>0.204219285</v>
      </c>
      <c r="S180" t="s">
        <v>150</v>
      </c>
      <c r="T180">
        <v>13</v>
      </c>
      <c r="U180">
        <v>0</v>
      </c>
      <c r="V180">
        <v>13</v>
      </c>
      <c r="W180">
        <v>1</v>
      </c>
      <c r="X180" t="s">
        <v>149</v>
      </c>
      <c r="Y180" t="s">
        <v>157</v>
      </c>
    </row>
    <row r="181" spans="1:25">
      <c r="A181" t="s">
        <v>361</v>
      </c>
      <c r="B181" s="113">
        <v>43788</v>
      </c>
      <c r="C181" t="s">
        <v>159</v>
      </c>
      <c r="D181" t="s">
        <v>168</v>
      </c>
      <c r="E181">
        <v>25</v>
      </c>
      <c r="F181">
        <v>669</v>
      </c>
      <c r="G181" t="s">
        <v>169</v>
      </c>
      <c r="H181">
        <v>33349.624880000003</v>
      </c>
      <c r="I181">
        <v>33349.624880000003</v>
      </c>
      <c r="J181" t="s">
        <v>170</v>
      </c>
      <c r="K181" t="s">
        <v>170</v>
      </c>
      <c r="L181">
        <v>8.1</v>
      </c>
      <c r="M181" t="s">
        <v>149</v>
      </c>
      <c r="N181">
        <v>1</v>
      </c>
      <c r="O181">
        <v>5.5</v>
      </c>
      <c r="P181">
        <v>3</v>
      </c>
      <c r="Q181">
        <v>1150</v>
      </c>
      <c r="R181">
        <v>0.35757145200000001</v>
      </c>
      <c r="S181" t="s">
        <v>150</v>
      </c>
      <c r="T181">
        <v>18</v>
      </c>
      <c r="U181">
        <v>0</v>
      </c>
      <c r="V181">
        <v>18</v>
      </c>
      <c r="W181">
        <v>0</v>
      </c>
      <c r="X181" t="s">
        <v>149</v>
      </c>
      <c r="Y181" t="s">
        <v>157</v>
      </c>
    </row>
    <row r="182" spans="1:25">
      <c r="A182" t="s">
        <v>362</v>
      </c>
      <c r="B182" s="113">
        <v>43788</v>
      </c>
      <c r="C182" t="s">
        <v>159</v>
      </c>
      <c r="D182" t="s">
        <v>165</v>
      </c>
      <c r="E182">
        <v>52</v>
      </c>
      <c r="F182">
        <v>558</v>
      </c>
      <c r="G182" t="s">
        <v>155</v>
      </c>
      <c r="H182">
        <v>79732.774239999999</v>
      </c>
      <c r="I182">
        <v>79732.774239999999</v>
      </c>
      <c r="J182" t="s">
        <v>148</v>
      </c>
      <c r="K182" t="s">
        <v>148</v>
      </c>
      <c r="L182">
        <v>0.1</v>
      </c>
      <c r="M182" t="s">
        <v>149</v>
      </c>
      <c r="N182">
        <v>2</v>
      </c>
      <c r="O182">
        <v>5.9</v>
      </c>
      <c r="P182">
        <v>1</v>
      </c>
      <c r="Q182">
        <v>1000</v>
      </c>
      <c r="R182">
        <v>0.50178930099999997</v>
      </c>
      <c r="S182" t="s">
        <v>150</v>
      </c>
      <c r="T182">
        <v>14</v>
      </c>
      <c r="U182">
        <v>0</v>
      </c>
      <c r="V182">
        <v>14</v>
      </c>
      <c r="W182">
        <v>0</v>
      </c>
      <c r="X182" t="s">
        <v>151</v>
      </c>
      <c r="Y182" t="s">
        <v>152</v>
      </c>
    </row>
    <row r="183" spans="1:25">
      <c r="A183" t="s">
        <v>363</v>
      </c>
      <c r="B183" s="113">
        <v>43789</v>
      </c>
      <c r="C183" t="s">
        <v>162</v>
      </c>
      <c r="D183" t="s">
        <v>163</v>
      </c>
      <c r="E183">
        <v>59</v>
      </c>
      <c r="F183">
        <v>696</v>
      </c>
      <c r="G183" t="s">
        <v>176</v>
      </c>
      <c r="H183">
        <v>10336.891820000001</v>
      </c>
      <c r="I183">
        <v>10336.891820000001</v>
      </c>
      <c r="J183" t="s">
        <v>221</v>
      </c>
      <c r="K183" t="s">
        <v>221</v>
      </c>
      <c r="L183">
        <v>3.6</v>
      </c>
      <c r="M183" t="s">
        <v>149</v>
      </c>
      <c r="N183">
        <v>2</v>
      </c>
      <c r="O183">
        <v>3.1</v>
      </c>
      <c r="P183">
        <v>2</v>
      </c>
      <c r="Q183">
        <v>850</v>
      </c>
      <c r="R183">
        <v>0.63318872500000001</v>
      </c>
      <c r="S183" t="s">
        <v>198</v>
      </c>
      <c r="Y183" t="s">
        <v>199</v>
      </c>
    </row>
    <row r="184" spans="1:25">
      <c r="A184" t="s">
        <v>364</v>
      </c>
      <c r="B184" s="113">
        <v>43792</v>
      </c>
      <c r="C184" t="s">
        <v>159</v>
      </c>
      <c r="D184" t="s">
        <v>209</v>
      </c>
      <c r="E184">
        <v>38</v>
      </c>
      <c r="F184">
        <v>724</v>
      </c>
      <c r="G184" t="s">
        <v>147</v>
      </c>
      <c r="H184">
        <v>51690.621149999999</v>
      </c>
      <c r="J184" t="s">
        <v>148</v>
      </c>
      <c r="K184" t="s">
        <v>148</v>
      </c>
      <c r="L184">
        <v>0.4</v>
      </c>
      <c r="M184" t="s">
        <v>151</v>
      </c>
      <c r="N184">
        <v>3</v>
      </c>
      <c r="O184">
        <v>16.7</v>
      </c>
      <c r="P184">
        <v>4</v>
      </c>
      <c r="Q184">
        <v>1350</v>
      </c>
      <c r="R184">
        <v>0.74841306900000004</v>
      </c>
      <c r="S184" t="s">
        <v>150</v>
      </c>
      <c r="T184">
        <v>21</v>
      </c>
      <c r="U184">
        <v>0</v>
      </c>
      <c r="V184">
        <v>21</v>
      </c>
      <c r="W184">
        <v>0</v>
      </c>
      <c r="X184" t="s">
        <v>151</v>
      </c>
      <c r="Y184" t="s">
        <v>152</v>
      </c>
    </row>
    <row r="185" spans="1:25">
      <c r="A185" t="s">
        <v>365</v>
      </c>
      <c r="B185" s="113">
        <v>43794</v>
      </c>
      <c r="C185" t="s">
        <v>162</v>
      </c>
      <c r="D185" t="s">
        <v>163</v>
      </c>
      <c r="E185">
        <v>42</v>
      </c>
      <c r="F185">
        <v>623</v>
      </c>
      <c r="G185" t="s">
        <v>169</v>
      </c>
      <c r="H185">
        <v>48435.276570000002</v>
      </c>
      <c r="I185">
        <v>48435.276570000002</v>
      </c>
      <c r="J185" t="s">
        <v>156</v>
      </c>
      <c r="K185" t="s">
        <v>156</v>
      </c>
      <c r="L185">
        <v>25.4</v>
      </c>
      <c r="M185" t="s">
        <v>149</v>
      </c>
      <c r="N185">
        <v>2</v>
      </c>
      <c r="O185">
        <v>0.8</v>
      </c>
      <c r="P185">
        <v>3</v>
      </c>
      <c r="Q185">
        <v>850</v>
      </c>
      <c r="R185">
        <v>0.84451887699999995</v>
      </c>
      <c r="S185" t="s">
        <v>150</v>
      </c>
      <c r="T185">
        <v>11</v>
      </c>
      <c r="U185">
        <v>0</v>
      </c>
      <c r="V185">
        <v>11</v>
      </c>
      <c r="W185">
        <v>0</v>
      </c>
      <c r="X185" t="s">
        <v>151</v>
      </c>
      <c r="Y185" t="s">
        <v>152</v>
      </c>
    </row>
    <row r="186" spans="1:25">
      <c r="A186" t="s">
        <v>366</v>
      </c>
      <c r="B186" s="113">
        <v>43794</v>
      </c>
      <c r="C186" t="s">
        <v>145</v>
      </c>
      <c r="D186" t="s">
        <v>172</v>
      </c>
      <c r="E186">
        <v>54</v>
      </c>
      <c r="F186">
        <v>813</v>
      </c>
      <c r="G186" t="s">
        <v>147</v>
      </c>
      <c r="H186">
        <v>54182.819210000001</v>
      </c>
      <c r="J186" t="s">
        <v>183</v>
      </c>
      <c r="K186" t="s">
        <v>183</v>
      </c>
      <c r="L186">
        <v>8.5</v>
      </c>
      <c r="M186" t="s">
        <v>149</v>
      </c>
      <c r="N186">
        <v>4</v>
      </c>
      <c r="O186">
        <v>5.5</v>
      </c>
      <c r="P186">
        <v>3</v>
      </c>
      <c r="Q186">
        <v>1650</v>
      </c>
      <c r="R186">
        <v>0.91905108499999999</v>
      </c>
      <c r="S186" t="s">
        <v>150</v>
      </c>
      <c r="T186">
        <v>23</v>
      </c>
      <c r="U186">
        <v>0</v>
      </c>
      <c r="V186">
        <v>23</v>
      </c>
      <c r="W186">
        <v>0</v>
      </c>
      <c r="X186" t="s">
        <v>149</v>
      </c>
      <c r="Y186" t="s">
        <v>157</v>
      </c>
    </row>
    <row r="187" spans="1:25">
      <c r="A187" t="s">
        <v>367</v>
      </c>
      <c r="B187" s="113">
        <v>43795</v>
      </c>
      <c r="C187" t="s">
        <v>162</v>
      </c>
      <c r="D187" t="s">
        <v>190</v>
      </c>
      <c r="E187">
        <v>33</v>
      </c>
      <c r="F187">
        <v>749</v>
      </c>
      <c r="G187" t="s">
        <v>176</v>
      </c>
      <c r="H187">
        <v>30082.282719999999</v>
      </c>
      <c r="I187">
        <v>30082.282719999999</v>
      </c>
      <c r="J187" t="s">
        <v>156</v>
      </c>
      <c r="K187" t="s">
        <v>156</v>
      </c>
      <c r="L187">
        <v>1.7</v>
      </c>
      <c r="M187" t="s">
        <v>149</v>
      </c>
      <c r="N187">
        <v>3</v>
      </c>
      <c r="O187">
        <v>2</v>
      </c>
      <c r="P187">
        <v>2</v>
      </c>
      <c r="Q187">
        <v>1400</v>
      </c>
      <c r="R187">
        <v>0.970105734</v>
      </c>
      <c r="S187" t="s">
        <v>150</v>
      </c>
      <c r="T187">
        <v>17</v>
      </c>
      <c r="U187">
        <v>0</v>
      </c>
      <c r="V187">
        <v>17</v>
      </c>
      <c r="W187">
        <v>0</v>
      </c>
      <c r="X187" t="s">
        <v>149</v>
      </c>
      <c r="Y187" t="s">
        <v>157</v>
      </c>
    </row>
    <row r="188" spans="1:25">
      <c r="A188" t="s">
        <v>368</v>
      </c>
      <c r="B188" s="113">
        <v>43796</v>
      </c>
      <c r="C188" t="s">
        <v>159</v>
      </c>
      <c r="D188" t="s">
        <v>197</v>
      </c>
      <c r="E188">
        <v>44</v>
      </c>
      <c r="F188">
        <v>682</v>
      </c>
      <c r="G188" t="s">
        <v>155</v>
      </c>
      <c r="H188">
        <v>72217.863429999998</v>
      </c>
      <c r="I188">
        <v>72217.863429999998</v>
      </c>
      <c r="J188" t="s">
        <v>183</v>
      </c>
      <c r="K188" t="s">
        <v>183</v>
      </c>
      <c r="L188">
        <v>6.6</v>
      </c>
      <c r="M188" t="s">
        <v>149</v>
      </c>
      <c r="N188">
        <v>3</v>
      </c>
      <c r="O188">
        <v>17.7</v>
      </c>
      <c r="P188">
        <v>4</v>
      </c>
      <c r="Q188">
        <v>1400</v>
      </c>
      <c r="R188">
        <v>0.996378612</v>
      </c>
      <c r="S188" t="s">
        <v>150</v>
      </c>
      <c r="T188">
        <v>7</v>
      </c>
      <c r="U188">
        <v>0</v>
      </c>
      <c r="V188">
        <v>7</v>
      </c>
      <c r="W188">
        <v>0</v>
      </c>
      <c r="X188" t="s">
        <v>151</v>
      </c>
      <c r="Y188" t="s">
        <v>152</v>
      </c>
    </row>
    <row r="189" spans="1:25">
      <c r="A189" t="s">
        <v>369</v>
      </c>
      <c r="B189" s="113">
        <v>43796</v>
      </c>
      <c r="C189" t="s">
        <v>145</v>
      </c>
      <c r="D189" t="s">
        <v>154</v>
      </c>
      <c r="E189">
        <v>30</v>
      </c>
      <c r="F189">
        <v>738</v>
      </c>
      <c r="G189" t="s">
        <v>155</v>
      </c>
      <c r="H189">
        <v>4143706</v>
      </c>
      <c r="I189">
        <v>4143706</v>
      </c>
      <c r="J189" t="s">
        <v>249</v>
      </c>
      <c r="K189" t="s">
        <v>249</v>
      </c>
      <c r="L189">
        <v>16.899999999999999</v>
      </c>
      <c r="M189" t="s">
        <v>149</v>
      </c>
      <c r="N189">
        <v>2</v>
      </c>
      <c r="O189">
        <v>3</v>
      </c>
      <c r="P189">
        <v>4</v>
      </c>
      <c r="Q189">
        <v>0</v>
      </c>
      <c r="R189">
        <v>0.99719856600000001</v>
      </c>
      <c r="S189" t="s">
        <v>198</v>
      </c>
      <c r="T189">
        <v>0</v>
      </c>
      <c r="U189">
        <v>0</v>
      </c>
      <c r="V189">
        <v>0</v>
      </c>
      <c r="W189">
        <v>0</v>
      </c>
      <c r="X189" t="s">
        <v>149</v>
      </c>
      <c r="Y189" t="s">
        <v>199</v>
      </c>
    </row>
    <row r="190" spans="1:25">
      <c r="A190" t="s">
        <v>370</v>
      </c>
      <c r="B190" s="113">
        <v>43798</v>
      </c>
      <c r="C190" t="s">
        <v>159</v>
      </c>
      <c r="D190" t="s">
        <v>209</v>
      </c>
      <c r="E190">
        <v>49</v>
      </c>
      <c r="F190">
        <v>603</v>
      </c>
      <c r="G190" t="s">
        <v>176</v>
      </c>
      <c r="H190">
        <v>54188.607680000001</v>
      </c>
      <c r="I190">
        <v>3951216</v>
      </c>
      <c r="J190" t="s">
        <v>148</v>
      </c>
      <c r="K190" t="s">
        <v>166</v>
      </c>
      <c r="L190">
        <v>2.2999999999999998</v>
      </c>
      <c r="M190" t="s">
        <v>149</v>
      </c>
      <c r="N190">
        <v>1</v>
      </c>
      <c r="O190">
        <v>1.2</v>
      </c>
      <c r="P190">
        <v>4</v>
      </c>
      <c r="Q190">
        <v>1500</v>
      </c>
      <c r="R190">
        <v>0.97254465099999998</v>
      </c>
      <c r="S190" t="s">
        <v>150</v>
      </c>
      <c r="T190">
        <v>12</v>
      </c>
      <c r="U190">
        <v>0</v>
      </c>
      <c r="V190">
        <v>12</v>
      </c>
      <c r="W190">
        <v>0</v>
      </c>
      <c r="X190" t="s">
        <v>151</v>
      </c>
      <c r="Y190" t="s">
        <v>152</v>
      </c>
    </row>
    <row r="191" spans="1:25">
      <c r="A191" t="s">
        <v>371</v>
      </c>
      <c r="B191" s="113">
        <v>43800</v>
      </c>
      <c r="C191" t="s">
        <v>162</v>
      </c>
      <c r="D191" t="s">
        <v>193</v>
      </c>
      <c r="E191">
        <v>50</v>
      </c>
      <c r="F191">
        <v>698</v>
      </c>
      <c r="G191" t="s">
        <v>147</v>
      </c>
      <c r="H191">
        <v>39388.384449999998</v>
      </c>
      <c r="I191">
        <v>6357220</v>
      </c>
      <c r="J191" t="s">
        <v>148</v>
      </c>
      <c r="K191" t="s">
        <v>148</v>
      </c>
      <c r="L191">
        <v>0.4</v>
      </c>
      <c r="M191" t="s">
        <v>149</v>
      </c>
      <c r="N191">
        <v>3</v>
      </c>
      <c r="O191">
        <v>3.6</v>
      </c>
      <c r="P191">
        <v>3</v>
      </c>
      <c r="Q191">
        <v>1800</v>
      </c>
      <c r="R191">
        <v>0.92304666199999996</v>
      </c>
      <c r="S191" t="s">
        <v>150</v>
      </c>
      <c r="T191">
        <v>16</v>
      </c>
      <c r="U191">
        <v>0</v>
      </c>
      <c r="V191">
        <v>16</v>
      </c>
      <c r="W191">
        <v>0</v>
      </c>
      <c r="X191" t="s">
        <v>149</v>
      </c>
      <c r="Y191" t="s">
        <v>157</v>
      </c>
    </row>
    <row r="192" spans="1:25">
      <c r="A192" t="s">
        <v>372</v>
      </c>
      <c r="B192" s="113">
        <v>43801</v>
      </c>
      <c r="C192" t="s">
        <v>162</v>
      </c>
      <c r="D192" t="s">
        <v>187</v>
      </c>
      <c r="E192">
        <v>44</v>
      </c>
      <c r="F192">
        <v>499</v>
      </c>
      <c r="G192" t="s">
        <v>176</v>
      </c>
      <c r="H192">
        <v>118861.47990000001</v>
      </c>
      <c r="I192">
        <v>3248013</v>
      </c>
      <c r="J192" t="s">
        <v>148</v>
      </c>
      <c r="K192" t="s">
        <v>148</v>
      </c>
      <c r="L192">
        <v>4.3</v>
      </c>
      <c r="M192" t="s">
        <v>149</v>
      </c>
      <c r="N192">
        <v>3</v>
      </c>
      <c r="O192">
        <v>0.1</v>
      </c>
      <c r="P192">
        <v>2</v>
      </c>
      <c r="Q192">
        <v>1400</v>
      </c>
      <c r="R192">
        <v>0.84996904600000001</v>
      </c>
      <c r="S192" t="s">
        <v>150</v>
      </c>
      <c r="T192">
        <v>22</v>
      </c>
      <c r="U192">
        <v>0</v>
      </c>
      <c r="V192">
        <v>22</v>
      </c>
      <c r="W192">
        <v>0</v>
      </c>
      <c r="X192" t="s">
        <v>149</v>
      </c>
      <c r="Y192" t="s">
        <v>157</v>
      </c>
    </row>
    <row r="193" spans="1:25">
      <c r="A193" t="s">
        <v>373</v>
      </c>
      <c r="B193" s="113">
        <v>43801</v>
      </c>
      <c r="C193" t="s">
        <v>145</v>
      </c>
      <c r="D193" t="s">
        <v>154</v>
      </c>
      <c r="E193">
        <v>51</v>
      </c>
      <c r="F193">
        <v>423</v>
      </c>
      <c r="G193" t="s">
        <v>169</v>
      </c>
      <c r="H193">
        <v>44340.389040000002</v>
      </c>
      <c r="I193">
        <v>2560321</v>
      </c>
      <c r="J193" t="s">
        <v>170</v>
      </c>
      <c r="K193" t="s">
        <v>170</v>
      </c>
      <c r="L193">
        <v>8.5</v>
      </c>
      <c r="M193" t="s">
        <v>149</v>
      </c>
      <c r="N193">
        <v>3</v>
      </c>
      <c r="O193">
        <v>7.6</v>
      </c>
      <c r="P193">
        <v>2</v>
      </c>
      <c r="Q193">
        <v>1250</v>
      </c>
      <c r="R193">
        <v>0.75517860199999998</v>
      </c>
      <c r="S193" t="s">
        <v>150</v>
      </c>
      <c r="T193">
        <v>18</v>
      </c>
      <c r="U193">
        <v>0</v>
      </c>
      <c r="V193">
        <v>18</v>
      </c>
      <c r="W193">
        <v>0</v>
      </c>
      <c r="X193" t="s">
        <v>149</v>
      </c>
      <c r="Y193" t="s">
        <v>157</v>
      </c>
    </row>
    <row r="194" spans="1:25">
      <c r="A194" t="s">
        <v>374</v>
      </c>
      <c r="B194" s="113">
        <v>43809</v>
      </c>
      <c r="C194" t="s">
        <v>162</v>
      </c>
      <c r="D194" t="s">
        <v>195</v>
      </c>
      <c r="E194">
        <v>27</v>
      </c>
      <c r="F194">
        <v>520</v>
      </c>
      <c r="G194" t="s">
        <v>176</v>
      </c>
      <c r="H194">
        <v>90969.040429999994</v>
      </c>
      <c r="I194">
        <v>4143706</v>
      </c>
      <c r="J194" t="s">
        <v>156</v>
      </c>
      <c r="K194" t="s">
        <v>156</v>
      </c>
      <c r="L194">
        <v>12.3</v>
      </c>
      <c r="M194" t="s">
        <v>149</v>
      </c>
      <c r="N194">
        <v>4</v>
      </c>
      <c r="O194">
        <v>29.8</v>
      </c>
      <c r="P194">
        <v>4</v>
      </c>
      <c r="Q194">
        <v>1350</v>
      </c>
      <c r="R194">
        <v>0.64109679399999997</v>
      </c>
      <c r="S194" t="s">
        <v>150</v>
      </c>
      <c r="T194">
        <v>19</v>
      </c>
      <c r="U194">
        <v>0</v>
      </c>
      <c r="V194">
        <v>19</v>
      </c>
      <c r="W194">
        <v>0</v>
      </c>
      <c r="X194" t="s">
        <v>149</v>
      </c>
      <c r="Y194" t="s">
        <v>157</v>
      </c>
    </row>
    <row r="195" spans="1:25">
      <c r="A195" t="s">
        <v>375</v>
      </c>
      <c r="B195" s="113">
        <v>43813</v>
      </c>
      <c r="C195" t="s">
        <v>162</v>
      </c>
      <c r="D195" t="s">
        <v>195</v>
      </c>
      <c r="E195">
        <v>39</v>
      </c>
      <c r="F195">
        <v>728</v>
      </c>
      <c r="G195" t="s">
        <v>176</v>
      </c>
      <c r="H195">
        <v>99167.340580000004</v>
      </c>
      <c r="I195">
        <v>5560637</v>
      </c>
      <c r="J195" t="s">
        <v>148</v>
      </c>
      <c r="K195" t="s">
        <v>166</v>
      </c>
      <c r="L195">
        <v>3</v>
      </c>
      <c r="M195" t="s">
        <v>149</v>
      </c>
      <c r="N195">
        <v>1</v>
      </c>
      <c r="O195">
        <v>3.1</v>
      </c>
      <c r="P195">
        <v>4</v>
      </c>
      <c r="Q195">
        <v>2000</v>
      </c>
      <c r="R195">
        <v>0.51063789000000004</v>
      </c>
      <c r="S195" t="s">
        <v>150</v>
      </c>
      <c r="T195">
        <v>15</v>
      </c>
      <c r="U195">
        <v>0</v>
      </c>
      <c r="V195">
        <v>15</v>
      </c>
      <c r="W195">
        <v>0</v>
      </c>
      <c r="X195" t="s">
        <v>149</v>
      </c>
      <c r="Y195" t="s">
        <v>157</v>
      </c>
    </row>
    <row r="196" spans="1:25">
      <c r="A196" t="s">
        <v>376</v>
      </c>
      <c r="B196" s="113">
        <v>43813</v>
      </c>
      <c r="C196" t="s">
        <v>159</v>
      </c>
      <c r="D196" t="s">
        <v>160</v>
      </c>
      <c r="E196">
        <v>30</v>
      </c>
      <c r="F196">
        <v>548</v>
      </c>
      <c r="G196" t="s">
        <v>169</v>
      </c>
      <c r="H196">
        <v>83826.440119999999</v>
      </c>
      <c r="I196">
        <v>4866103</v>
      </c>
      <c r="J196" t="s">
        <v>148</v>
      </c>
      <c r="K196" t="s">
        <v>148</v>
      </c>
      <c r="L196">
        <v>1.5</v>
      </c>
      <c r="M196" t="s">
        <v>149</v>
      </c>
      <c r="N196">
        <v>3</v>
      </c>
      <c r="O196">
        <v>5.3</v>
      </c>
      <c r="P196">
        <v>2</v>
      </c>
      <c r="Q196">
        <v>1200</v>
      </c>
      <c r="R196">
        <v>0.36713452000000002</v>
      </c>
      <c r="S196" t="s">
        <v>150</v>
      </c>
      <c r="T196">
        <v>17</v>
      </c>
      <c r="U196">
        <v>1</v>
      </c>
      <c r="V196">
        <v>17</v>
      </c>
      <c r="W196">
        <v>0</v>
      </c>
      <c r="X196" t="s">
        <v>149</v>
      </c>
      <c r="Y196" t="s">
        <v>157</v>
      </c>
    </row>
    <row r="197" spans="1:25">
      <c r="A197" t="s">
        <v>377</v>
      </c>
      <c r="B197" s="113">
        <v>43814</v>
      </c>
      <c r="C197" t="s">
        <v>159</v>
      </c>
      <c r="D197" t="s">
        <v>197</v>
      </c>
      <c r="E197">
        <v>52</v>
      </c>
      <c r="F197">
        <v>741</v>
      </c>
      <c r="G197" t="s">
        <v>147</v>
      </c>
      <c r="H197">
        <v>35658.925380000001</v>
      </c>
      <c r="I197">
        <v>6807811</v>
      </c>
      <c r="J197" t="s">
        <v>156</v>
      </c>
      <c r="K197" t="s">
        <v>156</v>
      </c>
      <c r="L197">
        <v>9.4</v>
      </c>
      <c r="M197" t="s">
        <v>149</v>
      </c>
      <c r="N197">
        <v>4</v>
      </c>
      <c r="O197">
        <v>4.5999999999999996</v>
      </c>
      <c r="P197">
        <v>3</v>
      </c>
      <c r="Q197">
        <v>1400</v>
      </c>
      <c r="R197">
        <v>0.21425253999999999</v>
      </c>
      <c r="S197" t="s">
        <v>150</v>
      </c>
      <c r="T197">
        <v>22</v>
      </c>
      <c r="U197">
        <v>0</v>
      </c>
      <c r="V197">
        <v>22</v>
      </c>
      <c r="W197">
        <v>0</v>
      </c>
      <c r="X197" t="s">
        <v>151</v>
      </c>
      <c r="Y197" t="s">
        <v>152</v>
      </c>
    </row>
    <row r="198" spans="1:25">
      <c r="A198" t="s">
        <v>378</v>
      </c>
      <c r="B198" s="113">
        <v>43815</v>
      </c>
      <c r="C198" t="s">
        <v>162</v>
      </c>
      <c r="D198" t="s">
        <v>195</v>
      </c>
      <c r="E198">
        <v>50</v>
      </c>
      <c r="F198">
        <v>622</v>
      </c>
      <c r="G198" t="s">
        <v>147</v>
      </c>
      <c r="H198">
        <v>30645.767199999998</v>
      </c>
      <c r="I198">
        <v>3650009</v>
      </c>
      <c r="J198" t="s">
        <v>183</v>
      </c>
      <c r="K198" t="s">
        <v>183</v>
      </c>
      <c r="L198">
        <v>0.3</v>
      </c>
      <c r="M198" t="s">
        <v>149</v>
      </c>
      <c r="N198">
        <v>0</v>
      </c>
      <c r="O198">
        <v>10.199999999999999</v>
      </c>
      <c r="P198">
        <v>2</v>
      </c>
      <c r="Q198">
        <v>800</v>
      </c>
      <c r="R198">
        <v>5.5897386E-2</v>
      </c>
      <c r="S198" t="s">
        <v>150</v>
      </c>
      <c r="T198">
        <v>16</v>
      </c>
      <c r="U198">
        <v>1</v>
      </c>
      <c r="V198">
        <v>16</v>
      </c>
      <c r="W198">
        <v>0</v>
      </c>
      <c r="X198" t="s">
        <v>149</v>
      </c>
      <c r="Y198" t="s">
        <v>157</v>
      </c>
    </row>
    <row r="199" spans="1:25">
      <c r="A199" t="s">
        <v>379</v>
      </c>
      <c r="B199" s="113">
        <v>43816</v>
      </c>
      <c r="C199" t="s">
        <v>159</v>
      </c>
      <c r="D199" t="s">
        <v>160</v>
      </c>
      <c r="E199">
        <v>32</v>
      </c>
      <c r="F199">
        <v>731</v>
      </c>
      <c r="G199" t="s">
        <v>169</v>
      </c>
      <c r="H199">
        <v>161426.42079999999</v>
      </c>
      <c r="I199">
        <v>4645528</v>
      </c>
      <c r="J199" t="s">
        <v>148</v>
      </c>
      <c r="K199" t="s">
        <v>148</v>
      </c>
      <c r="L199">
        <v>1.7</v>
      </c>
      <c r="M199" t="s">
        <v>149</v>
      </c>
      <c r="N199">
        <v>3</v>
      </c>
      <c r="O199">
        <v>1.5</v>
      </c>
      <c r="P199">
        <v>4</v>
      </c>
      <c r="Q199">
        <v>1100</v>
      </c>
      <c r="R199">
        <v>0.103885691</v>
      </c>
      <c r="S199" t="s">
        <v>150</v>
      </c>
      <c r="T199">
        <v>20</v>
      </c>
      <c r="U199">
        <v>0</v>
      </c>
      <c r="V199">
        <v>20</v>
      </c>
      <c r="W199">
        <v>0</v>
      </c>
      <c r="X199" t="s">
        <v>151</v>
      </c>
      <c r="Y199" t="s">
        <v>152</v>
      </c>
    </row>
    <row r="200" spans="1:25">
      <c r="A200" t="s">
        <v>380</v>
      </c>
      <c r="B200" s="113">
        <v>43816</v>
      </c>
      <c r="C200" t="s">
        <v>159</v>
      </c>
      <c r="D200" t="s">
        <v>197</v>
      </c>
      <c r="E200">
        <v>46</v>
      </c>
      <c r="F200">
        <v>728</v>
      </c>
      <c r="G200" t="s">
        <v>155</v>
      </c>
      <c r="H200">
        <v>45556.502710000001</v>
      </c>
      <c r="I200">
        <v>3237179</v>
      </c>
      <c r="J200" t="s">
        <v>156</v>
      </c>
      <c r="K200" t="s">
        <v>166</v>
      </c>
      <c r="L200">
        <v>0.9</v>
      </c>
      <c r="M200" t="s">
        <v>149</v>
      </c>
      <c r="N200">
        <v>1</v>
      </c>
      <c r="O200">
        <v>18.8</v>
      </c>
      <c r="P200">
        <v>2</v>
      </c>
      <c r="Q200">
        <v>1300</v>
      </c>
      <c r="R200">
        <v>0.26101496299999999</v>
      </c>
      <c r="S200" t="s">
        <v>150</v>
      </c>
      <c r="T200">
        <v>23</v>
      </c>
      <c r="U200">
        <v>0</v>
      </c>
      <c r="V200">
        <v>23</v>
      </c>
      <c r="W200">
        <v>0</v>
      </c>
      <c r="X200" t="s">
        <v>149</v>
      </c>
      <c r="Y200" t="s">
        <v>157</v>
      </c>
    </row>
    <row r="201" spans="1:25">
      <c r="A201" t="s">
        <v>381</v>
      </c>
      <c r="B201" s="113">
        <v>43820</v>
      </c>
      <c r="C201" t="s">
        <v>159</v>
      </c>
      <c r="D201" t="s">
        <v>209</v>
      </c>
      <c r="E201">
        <v>22</v>
      </c>
      <c r="F201">
        <v>739</v>
      </c>
      <c r="G201" t="s">
        <v>176</v>
      </c>
      <c r="H201">
        <v>115322.2013</v>
      </c>
      <c r="I201">
        <v>3228486</v>
      </c>
      <c r="J201" t="s">
        <v>148</v>
      </c>
      <c r="K201" t="s">
        <v>166</v>
      </c>
      <c r="L201">
        <v>11.6</v>
      </c>
      <c r="M201" t="s">
        <v>151</v>
      </c>
      <c r="N201">
        <v>3</v>
      </c>
      <c r="O201">
        <v>9.6999999999999993</v>
      </c>
      <c r="P201">
        <v>2</v>
      </c>
      <c r="Q201">
        <v>950</v>
      </c>
      <c r="R201">
        <v>0.411476495</v>
      </c>
      <c r="S201" t="s">
        <v>150</v>
      </c>
      <c r="T201">
        <v>22</v>
      </c>
      <c r="U201">
        <v>1</v>
      </c>
      <c r="V201">
        <v>22</v>
      </c>
      <c r="W201">
        <v>0</v>
      </c>
      <c r="X201" t="s">
        <v>149</v>
      </c>
      <c r="Y201" t="s">
        <v>157</v>
      </c>
    </row>
    <row r="202" spans="1:25">
      <c r="A202" t="s">
        <v>382</v>
      </c>
      <c r="B202" s="113">
        <v>43822</v>
      </c>
      <c r="C202" t="s">
        <v>145</v>
      </c>
      <c r="D202" t="s">
        <v>146</v>
      </c>
      <c r="E202">
        <v>60</v>
      </c>
      <c r="F202">
        <v>734</v>
      </c>
      <c r="G202" t="s">
        <v>176</v>
      </c>
      <c r="H202">
        <v>52941.072</v>
      </c>
      <c r="I202">
        <v>5513718</v>
      </c>
      <c r="J202" t="s">
        <v>156</v>
      </c>
      <c r="K202" t="s">
        <v>156</v>
      </c>
      <c r="L202">
        <v>1.6</v>
      </c>
      <c r="M202" t="s">
        <v>149</v>
      </c>
      <c r="N202">
        <v>1</v>
      </c>
      <c r="O202">
        <v>7.7</v>
      </c>
      <c r="P202">
        <v>2</v>
      </c>
      <c r="Q202">
        <v>1300</v>
      </c>
      <c r="R202">
        <v>0.55142668100000003</v>
      </c>
      <c r="S202" t="s">
        <v>150</v>
      </c>
      <c r="T202">
        <v>22</v>
      </c>
      <c r="U202">
        <v>1</v>
      </c>
      <c r="V202">
        <v>22</v>
      </c>
      <c r="W202">
        <v>1</v>
      </c>
      <c r="X202" t="s">
        <v>149</v>
      </c>
      <c r="Y202" t="s">
        <v>157</v>
      </c>
    </row>
    <row r="203" spans="1:25">
      <c r="A203" t="s">
        <v>383</v>
      </c>
      <c r="B203" s="113">
        <v>43826</v>
      </c>
      <c r="C203" t="s">
        <v>162</v>
      </c>
      <c r="D203" t="s">
        <v>193</v>
      </c>
      <c r="E203">
        <v>56</v>
      </c>
      <c r="F203">
        <v>774</v>
      </c>
      <c r="G203" t="s">
        <v>147</v>
      </c>
      <c r="H203">
        <v>40396.355799999998</v>
      </c>
      <c r="I203">
        <v>4008426</v>
      </c>
      <c r="J203" t="s">
        <v>148</v>
      </c>
      <c r="K203" t="s">
        <v>148</v>
      </c>
      <c r="L203">
        <v>8.8000000000000007</v>
      </c>
      <c r="M203" t="s">
        <v>149</v>
      </c>
      <c r="N203">
        <v>3</v>
      </c>
      <c r="O203">
        <v>7.9</v>
      </c>
      <c r="P203">
        <v>2</v>
      </c>
      <c r="Q203">
        <v>1200</v>
      </c>
      <c r="R203">
        <v>0.677290434</v>
      </c>
      <c r="S203" t="s">
        <v>150</v>
      </c>
      <c r="T203">
        <v>12</v>
      </c>
      <c r="U203">
        <v>0</v>
      </c>
      <c r="V203">
        <v>12</v>
      </c>
      <c r="W203">
        <v>0</v>
      </c>
      <c r="X203" t="s">
        <v>149</v>
      </c>
      <c r="Y203" t="s">
        <v>157</v>
      </c>
    </row>
    <row r="204" spans="1:25">
      <c r="A204" t="s">
        <v>384</v>
      </c>
      <c r="B204" s="113">
        <v>43826</v>
      </c>
      <c r="C204" t="s">
        <v>162</v>
      </c>
      <c r="D204" t="s">
        <v>187</v>
      </c>
      <c r="E204">
        <v>43</v>
      </c>
      <c r="F204">
        <v>570</v>
      </c>
      <c r="G204" t="s">
        <v>147</v>
      </c>
      <c r="H204">
        <v>184040.37340000001</v>
      </c>
      <c r="I204">
        <v>6780440</v>
      </c>
      <c r="J204" t="s">
        <v>148</v>
      </c>
      <c r="K204" t="s">
        <v>148</v>
      </c>
      <c r="L204">
        <v>4.8</v>
      </c>
      <c r="M204" t="s">
        <v>149</v>
      </c>
      <c r="N204">
        <v>4</v>
      </c>
      <c r="O204">
        <v>5</v>
      </c>
      <c r="P204">
        <v>0</v>
      </c>
      <c r="Q204">
        <v>950</v>
      </c>
      <c r="R204">
        <v>0.78585251</v>
      </c>
      <c r="S204" t="s">
        <v>150</v>
      </c>
      <c r="T204">
        <v>19</v>
      </c>
      <c r="U204">
        <v>0</v>
      </c>
      <c r="V204">
        <v>19</v>
      </c>
      <c r="W204">
        <v>0</v>
      </c>
      <c r="X204" t="s">
        <v>151</v>
      </c>
      <c r="Y204" t="s">
        <v>152</v>
      </c>
    </row>
    <row r="205" spans="1:25">
      <c r="A205" t="s">
        <v>385</v>
      </c>
      <c r="B205" s="113">
        <v>43835</v>
      </c>
      <c r="C205" t="s">
        <v>162</v>
      </c>
      <c r="D205" t="s">
        <v>195</v>
      </c>
      <c r="E205">
        <v>49</v>
      </c>
      <c r="F205">
        <v>755</v>
      </c>
      <c r="G205" t="s">
        <v>169</v>
      </c>
      <c r="H205">
        <v>122899.353</v>
      </c>
      <c r="I205">
        <v>5280975</v>
      </c>
      <c r="J205" t="s">
        <v>156</v>
      </c>
      <c r="K205" t="s">
        <v>156</v>
      </c>
      <c r="L205">
        <v>0.3</v>
      </c>
      <c r="M205" t="s">
        <v>149</v>
      </c>
      <c r="N205">
        <v>7</v>
      </c>
      <c r="O205">
        <v>7.1</v>
      </c>
      <c r="P205">
        <v>1</v>
      </c>
      <c r="Q205">
        <v>950</v>
      </c>
      <c r="R205">
        <v>0.87433964200000003</v>
      </c>
      <c r="S205" t="s">
        <v>150</v>
      </c>
      <c r="T205">
        <v>22</v>
      </c>
      <c r="U205">
        <v>0</v>
      </c>
      <c r="V205">
        <v>22</v>
      </c>
      <c r="W205">
        <v>0</v>
      </c>
      <c r="X205" t="s">
        <v>149</v>
      </c>
      <c r="Y205" t="s">
        <v>157</v>
      </c>
    </row>
    <row r="206" spans="1:25">
      <c r="A206" t="s">
        <v>386</v>
      </c>
      <c r="B206" s="113">
        <v>43835</v>
      </c>
      <c r="C206" t="s">
        <v>162</v>
      </c>
      <c r="D206" t="s">
        <v>190</v>
      </c>
      <c r="E206">
        <v>43</v>
      </c>
      <c r="F206">
        <v>782</v>
      </c>
      <c r="G206" t="s">
        <v>169</v>
      </c>
      <c r="H206">
        <v>34815.780570000003</v>
      </c>
      <c r="I206">
        <v>2718747</v>
      </c>
      <c r="J206" t="s">
        <v>148</v>
      </c>
      <c r="K206" t="s">
        <v>148</v>
      </c>
      <c r="L206">
        <v>2.4</v>
      </c>
      <c r="M206" t="s">
        <v>149</v>
      </c>
      <c r="N206">
        <v>0</v>
      </c>
      <c r="O206">
        <v>3.4</v>
      </c>
      <c r="P206">
        <v>3</v>
      </c>
      <c r="Q206">
        <v>1450</v>
      </c>
      <c r="R206">
        <v>0.94049139000000004</v>
      </c>
      <c r="S206" t="s">
        <v>150</v>
      </c>
      <c r="T206">
        <v>19</v>
      </c>
      <c r="U206">
        <v>0</v>
      </c>
      <c r="V206">
        <v>19</v>
      </c>
      <c r="W206">
        <v>0</v>
      </c>
      <c r="X206" t="s">
        <v>149</v>
      </c>
      <c r="Y206" t="s">
        <v>157</v>
      </c>
    </row>
    <row r="207" spans="1:25">
      <c r="A207" t="s">
        <v>387</v>
      </c>
      <c r="B207" s="113">
        <v>43836</v>
      </c>
      <c r="C207" t="s">
        <v>162</v>
      </c>
      <c r="D207" t="s">
        <v>179</v>
      </c>
      <c r="E207">
        <v>36</v>
      </c>
      <c r="F207">
        <v>694</v>
      </c>
      <c r="G207" t="s">
        <v>147</v>
      </c>
      <c r="H207">
        <v>78141.197839999993</v>
      </c>
      <c r="I207">
        <v>5178397</v>
      </c>
      <c r="J207" t="s">
        <v>148</v>
      </c>
      <c r="K207" t="s">
        <v>148</v>
      </c>
      <c r="L207">
        <v>5.5</v>
      </c>
      <c r="M207" t="s">
        <v>149</v>
      </c>
      <c r="N207">
        <v>0</v>
      </c>
      <c r="O207">
        <v>0.7</v>
      </c>
      <c r="P207">
        <v>3</v>
      </c>
      <c r="Q207">
        <v>850</v>
      </c>
      <c r="R207">
        <v>0.98261787700000003</v>
      </c>
      <c r="S207" t="s">
        <v>150</v>
      </c>
      <c r="T207">
        <v>22</v>
      </c>
      <c r="U207">
        <v>0</v>
      </c>
      <c r="V207">
        <v>22</v>
      </c>
      <c r="W207">
        <v>0</v>
      </c>
      <c r="X207" t="s">
        <v>149</v>
      </c>
      <c r="Y207" t="s">
        <v>157</v>
      </c>
    </row>
    <row r="208" spans="1:25">
      <c r="A208" t="s">
        <v>388</v>
      </c>
      <c r="B208" s="113">
        <v>43838</v>
      </c>
      <c r="C208" t="s">
        <v>159</v>
      </c>
      <c r="D208" t="s">
        <v>209</v>
      </c>
      <c r="E208">
        <v>40</v>
      </c>
      <c r="F208">
        <v>765</v>
      </c>
      <c r="G208" t="s">
        <v>169</v>
      </c>
      <c r="H208">
        <v>109871.7003</v>
      </c>
      <c r="I208">
        <v>3111935</v>
      </c>
      <c r="J208" t="s">
        <v>148</v>
      </c>
      <c r="K208" t="s">
        <v>148</v>
      </c>
      <c r="L208">
        <v>8.4</v>
      </c>
      <c r="M208" t="s">
        <v>149</v>
      </c>
      <c r="N208">
        <v>7</v>
      </c>
      <c r="O208">
        <v>4.8</v>
      </c>
      <c r="P208">
        <v>3</v>
      </c>
      <c r="Q208">
        <v>1200</v>
      </c>
      <c r="R208">
        <v>0.99964296600000002</v>
      </c>
      <c r="S208" t="s">
        <v>150</v>
      </c>
      <c r="T208">
        <v>15</v>
      </c>
      <c r="U208">
        <v>0</v>
      </c>
      <c r="V208">
        <v>15</v>
      </c>
      <c r="W208">
        <v>0</v>
      </c>
      <c r="X208" t="s">
        <v>149</v>
      </c>
      <c r="Y208" t="s">
        <v>157</v>
      </c>
    </row>
    <row r="209" spans="1:25">
      <c r="A209" t="s">
        <v>389</v>
      </c>
      <c r="B209" s="113">
        <v>43839</v>
      </c>
      <c r="C209" t="s">
        <v>145</v>
      </c>
      <c r="D209" t="s">
        <v>280</v>
      </c>
      <c r="E209">
        <v>25</v>
      </c>
      <c r="F209">
        <v>801</v>
      </c>
      <c r="G209" t="s">
        <v>155</v>
      </c>
      <c r="H209">
        <v>60158.376960000001</v>
      </c>
      <c r="I209">
        <v>60158.376960000001</v>
      </c>
      <c r="J209" t="s">
        <v>156</v>
      </c>
      <c r="K209" t="s">
        <v>156</v>
      </c>
      <c r="L209">
        <v>6.7</v>
      </c>
      <c r="M209" t="s">
        <v>149</v>
      </c>
      <c r="N209">
        <v>3</v>
      </c>
      <c r="O209">
        <v>3.4</v>
      </c>
      <c r="P209">
        <v>3</v>
      </c>
      <c r="Q209">
        <v>1200</v>
      </c>
      <c r="R209">
        <v>0.99113174100000001</v>
      </c>
      <c r="S209" t="s">
        <v>150</v>
      </c>
      <c r="T209">
        <v>18</v>
      </c>
      <c r="U209">
        <v>0</v>
      </c>
      <c r="V209">
        <v>18</v>
      </c>
      <c r="W209">
        <v>0</v>
      </c>
      <c r="X209" t="s">
        <v>149</v>
      </c>
      <c r="Y209" t="s">
        <v>157</v>
      </c>
    </row>
    <row r="210" spans="1:25">
      <c r="A210" t="s">
        <v>390</v>
      </c>
      <c r="B210" s="113">
        <v>43839</v>
      </c>
      <c r="C210" t="s">
        <v>145</v>
      </c>
      <c r="D210" t="s">
        <v>172</v>
      </c>
      <c r="E210">
        <v>41</v>
      </c>
      <c r="F210">
        <v>802</v>
      </c>
      <c r="G210" t="s">
        <v>176</v>
      </c>
      <c r="H210">
        <v>67547.155289999995</v>
      </c>
      <c r="I210">
        <v>67547.155289999995</v>
      </c>
      <c r="J210" t="s">
        <v>148</v>
      </c>
      <c r="K210" t="s">
        <v>148</v>
      </c>
      <c r="L210">
        <v>1.1000000000000001</v>
      </c>
      <c r="M210" t="s">
        <v>149</v>
      </c>
      <c r="N210">
        <v>2</v>
      </c>
      <c r="O210">
        <v>3</v>
      </c>
      <c r="P210">
        <v>2</v>
      </c>
      <c r="Q210">
        <v>1200</v>
      </c>
      <c r="R210">
        <v>0.95730162699999999</v>
      </c>
      <c r="S210" t="s">
        <v>150</v>
      </c>
      <c r="T210">
        <v>15</v>
      </c>
      <c r="U210">
        <v>0</v>
      </c>
      <c r="V210">
        <v>15</v>
      </c>
      <c r="W210">
        <v>0</v>
      </c>
      <c r="X210" t="s">
        <v>149</v>
      </c>
      <c r="Y210" t="s">
        <v>157</v>
      </c>
    </row>
    <row r="211" spans="1:25">
      <c r="A211" t="s">
        <v>391</v>
      </c>
      <c r="B211" s="113">
        <v>43840</v>
      </c>
      <c r="C211" t="s">
        <v>145</v>
      </c>
      <c r="D211" t="s">
        <v>213</v>
      </c>
      <c r="E211">
        <v>30</v>
      </c>
      <c r="F211">
        <v>822</v>
      </c>
      <c r="G211" t="s">
        <v>147</v>
      </c>
      <c r="H211">
        <v>47722.5334</v>
      </c>
      <c r="I211">
        <v>47722.5334</v>
      </c>
      <c r="J211" t="s">
        <v>148</v>
      </c>
      <c r="K211" t="s">
        <v>148</v>
      </c>
      <c r="L211">
        <v>8.1</v>
      </c>
      <c r="M211" t="s">
        <v>149</v>
      </c>
      <c r="N211">
        <v>1</v>
      </c>
      <c r="O211">
        <v>0.6</v>
      </c>
      <c r="P211">
        <v>1</v>
      </c>
      <c r="Q211">
        <v>1100</v>
      </c>
      <c r="R211">
        <v>0.89901682800000005</v>
      </c>
      <c r="S211" t="s">
        <v>150</v>
      </c>
      <c r="T211">
        <v>6</v>
      </c>
      <c r="U211">
        <v>0</v>
      </c>
      <c r="V211">
        <v>6</v>
      </c>
      <c r="W211">
        <v>0</v>
      </c>
      <c r="X211" t="s">
        <v>151</v>
      </c>
      <c r="Y211" t="s">
        <v>152</v>
      </c>
    </row>
    <row r="212" spans="1:25">
      <c r="A212" t="s">
        <v>392</v>
      </c>
      <c r="B212" s="113">
        <v>43841</v>
      </c>
      <c r="C212" t="s">
        <v>162</v>
      </c>
      <c r="D212" t="s">
        <v>190</v>
      </c>
      <c r="E212">
        <v>69</v>
      </c>
      <c r="F212">
        <v>639</v>
      </c>
      <c r="G212" t="s">
        <v>169</v>
      </c>
      <c r="H212">
        <v>33514.038910000003</v>
      </c>
      <c r="I212">
        <v>33514.038910000003</v>
      </c>
      <c r="J212" t="s">
        <v>148</v>
      </c>
      <c r="K212" t="s">
        <v>148</v>
      </c>
      <c r="L212">
        <v>1.3</v>
      </c>
      <c r="M212" t="s">
        <v>149</v>
      </c>
      <c r="N212">
        <v>5</v>
      </c>
      <c r="O212">
        <v>0.9</v>
      </c>
      <c r="P212">
        <v>3</v>
      </c>
      <c r="Q212">
        <v>850</v>
      </c>
      <c r="R212">
        <v>0.817766255</v>
      </c>
      <c r="S212" t="s">
        <v>150</v>
      </c>
      <c r="T212">
        <v>23</v>
      </c>
      <c r="U212">
        <v>0</v>
      </c>
      <c r="V212">
        <v>23</v>
      </c>
      <c r="W212">
        <v>0</v>
      </c>
      <c r="X212" t="s">
        <v>149</v>
      </c>
      <c r="Y212" t="s">
        <v>157</v>
      </c>
    </row>
    <row r="213" spans="1:25">
      <c r="A213" t="s">
        <v>393</v>
      </c>
      <c r="B213" s="113">
        <v>43841</v>
      </c>
      <c r="C213" t="s">
        <v>162</v>
      </c>
      <c r="D213" t="s">
        <v>193</v>
      </c>
      <c r="E213">
        <v>36</v>
      </c>
      <c r="F213">
        <v>762</v>
      </c>
      <c r="G213" t="s">
        <v>147</v>
      </c>
      <c r="H213">
        <v>77913.267489999998</v>
      </c>
      <c r="I213">
        <v>77913.267489999998</v>
      </c>
      <c r="J213" t="s">
        <v>148</v>
      </c>
      <c r="K213" t="s">
        <v>148</v>
      </c>
      <c r="L213">
        <v>1.6</v>
      </c>
      <c r="M213" t="s">
        <v>149</v>
      </c>
      <c r="N213">
        <v>1</v>
      </c>
      <c r="O213">
        <v>17.100000000000001</v>
      </c>
      <c r="P213">
        <v>3</v>
      </c>
      <c r="Q213">
        <v>2300</v>
      </c>
      <c r="R213">
        <v>0.71562548800000003</v>
      </c>
      <c r="S213" t="s">
        <v>150</v>
      </c>
      <c r="T213">
        <v>16</v>
      </c>
      <c r="U213">
        <v>0</v>
      </c>
      <c r="V213">
        <v>16</v>
      </c>
      <c r="W213">
        <v>0</v>
      </c>
      <c r="X213" t="s">
        <v>151</v>
      </c>
      <c r="Y213" t="s">
        <v>152</v>
      </c>
    </row>
    <row r="214" spans="1:25">
      <c r="A214" t="s">
        <v>394</v>
      </c>
      <c r="B214" s="113">
        <v>43844</v>
      </c>
      <c r="C214" t="s">
        <v>159</v>
      </c>
      <c r="D214" t="s">
        <v>209</v>
      </c>
      <c r="E214">
        <v>51</v>
      </c>
      <c r="F214">
        <v>764</v>
      </c>
      <c r="G214" t="s">
        <v>155</v>
      </c>
      <c r="H214">
        <v>21714.44526</v>
      </c>
      <c r="I214">
        <v>21714.44526</v>
      </c>
      <c r="J214" t="s">
        <v>148</v>
      </c>
      <c r="K214" t="s">
        <v>148</v>
      </c>
      <c r="L214">
        <v>10.5</v>
      </c>
      <c r="M214" t="s">
        <v>151</v>
      </c>
      <c r="N214">
        <v>0</v>
      </c>
      <c r="O214">
        <v>20.3</v>
      </c>
      <c r="P214">
        <v>4</v>
      </c>
      <c r="Q214">
        <v>1000</v>
      </c>
      <c r="R214">
        <v>0.59520375800000003</v>
      </c>
      <c r="S214" t="s">
        <v>198</v>
      </c>
      <c r="Y214" t="s">
        <v>199</v>
      </c>
    </row>
    <row r="215" spans="1:25">
      <c r="A215" t="s">
        <v>395</v>
      </c>
      <c r="B215" s="113">
        <v>43845</v>
      </c>
      <c r="C215" t="s">
        <v>159</v>
      </c>
      <c r="D215" t="s">
        <v>160</v>
      </c>
      <c r="E215">
        <v>39</v>
      </c>
      <c r="F215">
        <v>638</v>
      </c>
      <c r="G215" t="s">
        <v>155</v>
      </c>
      <c r="H215">
        <v>34741.828459999997</v>
      </c>
      <c r="I215">
        <v>34741.828459999997</v>
      </c>
      <c r="J215" t="s">
        <v>148</v>
      </c>
      <c r="K215" t="s">
        <v>148</v>
      </c>
      <c r="L215">
        <v>8.6</v>
      </c>
      <c r="M215" t="s">
        <v>151</v>
      </c>
      <c r="N215">
        <v>3</v>
      </c>
      <c r="O215">
        <v>7.8</v>
      </c>
      <c r="P215">
        <v>2</v>
      </c>
      <c r="Q215">
        <v>850</v>
      </c>
      <c r="R215">
        <v>0.45957729000000003</v>
      </c>
      <c r="S215" t="s">
        <v>198</v>
      </c>
      <c r="Y215" t="s">
        <v>199</v>
      </c>
    </row>
    <row r="216" spans="1:25">
      <c r="A216" t="s">
        <v>396</v>
      </c>
      <c r="B216" s="113">
        <v>43847</v>
      </c>
      <c r="C216" t="s">
        <v>162</v>
      </c>
      <c r="D216" t="s">
        <v>193</v>
      </c>
      <c r="E216">
        <v>43</v>
      </c>
      <c r="F216">
        <v>630</v>
      </c>
      <c r="G216" t="s">
        <v>155</v>
      </c>
      <c r="H216">
        <v>33883.444759999998</v>
      </c>
      <c r="I216">
        <v>33883.444759999998</v>
      </c>
      <c r="J216" t="s">
        <v>148</v>
      </c>
      <c r="K216" t="s">
        <v>148</v>
      </c>
      <c r="L216">
        <v>7.4</v>
      </c>
      <c r="M216" t="s">
        <v>149</v>
      </c>
      <c r="N216">
        <v>1</v>
      </c>
      <c r="O216">
        <v>1.6</v>
      </c>
      <c r="P216">
        <v>2</v>
      </c>
      <c r="Q216">
        <v>1500</v>
      </c>
      <c r="R216">
        <v>0.312210722</v>
      </c>
      <c r="S216" t="s">
        <v>150</v>
      </c>
      <c r="T216">
        <v>6</v>
      </c>
      <c r="U216">
        <v>0</v>
      </c>
      <c r="V216">
        <v>6</v>
      </c>
      <c r="W216">
        <v>0</v>
      </c>
      <c r="X216" t="s">
        <v>151</v>
      </c>
      <c r="Y216" t="s">
        <v>152</v>
      </c>
    </row>
    <row r="217" spans="1:25">
      <c r="A217" t="s">
        <v>397</v>
      </c>
      <c r="B217" s="113">
        <v>43847</v>
      </c>
      <c r="C217" t="s">
        <v>162</v>
      </c>
      <c r="D217" t="s">
        <v>163</v>
      </c>
      <c r="E217">
        <v>67</v>
      </c>
      <c r="F217">
        <v>754</v>
      </c>
      <c r="G217" t="s">
        <v>155</v>
      </c>
      <c r="H217">
        <v>32680.03069</v>
      </c>
      <c r="I217">
        <v>32680.03069</v>
      </c>
      <c r="J217" t="s">
        <v>148</v>
      </c>
      <c r="K217" t="s">
        <v>148</v>
      </c>
      <c r="L217">
        <v>3</v>
      </c>
      <c r="M217" t="s">
        <v>149</v>
      </c>
      <c r="N217">
        <v>3</v>
      </c>
      <c r="O217">
        <v>10.5</v>
      </c>
      <c r="P217">
        <v>2</v>
      </c>
      <c r="Q217">
        <v>1250</v>
      </c>
      <c r="R217">
        <v>0.156868595</v>
      </c>
      <c r="S217" t="s">
        <v>150</v>
      </c>
      <c r="T217">
        <v>15</v>
      </c>
      <c r="U217">
        <v>0</v>
      </c>
      <c r="V217">
        <v>15</v>
      </c>
      <c r="W217">
        <v>0</v>
      </c>
      <c r="X217" t="s">
        <v>151</v>
      </c>
      <c r="Y217" t="s">
        <v>152</v>
      </c>
    </row>
    <row r="218" spans="1:25">
      <c r="A218" t="s">
        <v>398</v>
      </c>
      <c r="B218" s="113">
        <v>43847</v>
      </c>
      <c r="C218" t="s">
        <v>159</v>
      </c>
      <c r="D218" t="s">
        <v>168</v>
      </c>
      <c r="E218">
        <v>35</v>
      </c>
      <c r="F218">
        <v>726</v>
      </c>
      <c r="G218" t="s">
        <v>155</v>
      </c>
      <c r="H218">
        <v>24582.25159</v>
      </c>
      <c r="I218">
        <v>24582.25159</v>
      </c>
      <c r="J218" t="s">
        <v>156</v>
      </c>
      <c r="K218" t="s">
        <v>156</v>
      </c>
      <c r="L218">
        <v>5.6</v>
      </c>
      <c r="M218" t="s">
        <v>149</v>
      </c>
      <c r="N218">
        <v>0</v>
      </c>
      <c r="O218">
        <v>1.1000000000000001</v>
      </c>
      <c r="P218">
        <v>2</v>
      </c>
      <c r="Q218">
        <v>1100</v>
      </c>
      <c r="R218">
        <v>2.4808080000000001E-3</v>
      </c>
      <c r="S218" t="s">
        <v>198</v>
      </c>
      <c r="Y218" t="s">
        <v>199</v>
      </c>
    </row>
    <row r="219" spans="1:25">
      <c r="A219" t="s">
        <v>399</v>
      </c>
      <c r="B219" s="113">
        <v>43848</v>
      </c>
      <c r="C219" t="s">
        <v>162</v>
      </c>
      <c r="D219" t="s">
        <v>179</v>
      </c>
      <c r="E219">
        <v>41</v>
      </c>
      <c r="F219">
        <v>459</v>
      </c>
      <c r="G219" t="s">
        <v>176</v>
      </c>
      <c r="H219">
        <v>135033.96059999999</v>
      </c>
      <c r="I219">
        <v>135033.96059999999</v>
      </c>
      <c r="J219" t="s">
        <v>148</v>
      </c>
      <c r="K219" t="s">
        <v>148</v>
      </c>
      <c r="L219">
        <v>11.4</v>
      </c>
      <c r="M219" t="s">
        <v>151</v>
      </c>
      <c r="N219">
        <v>4</v>
      </c>
      <c r="O219">
        <v>7.3</v>
      </c>
      <c r="P219">
        <v>1</v>
      </c>
      <c r="Q219">
        <v>800</v>
      </c>
      <c r="R219">
        <v>0.161766838</v>
      </c>
      <c r="S219" t="s">
        <v>150</v>
      </c>
      <c r="T219">
        <v>23</v>
      </c>
      <c r="U219">
        <v>0</v>
      </c>
      <c r="V219">
        <v>23</v>
      </c>
      <c r="W219">
        <v>0</v>
      </c>
      <c r="X219" t="s">
        <v>151</v>
      </c>
      <c r="Y219" t="s">
        <v>152</v>
      </c>
    </row>
    <row r="220" spans="1:25">
      <c r="A220" t="s">
        <v>400</v>
      </c>
      <c r="B220" s="113">
        <v>43848</v>
      </c>
      <c r="C220" t="s">
        <v>159</v>
      </c>
      <c r="D220" t="s">
        <v>197</v>
      </c>
      <c r="E220">
        <v>44</v>
      </c>
      <c r="F220">
        <v>762</v>
      </c>
      <c r="G220" t="s">
        <v>176</v>
      </c>
      <c r="H220">
        <v>64106.308069999999</v>
      </c>
      <c r="I220">
        <v>64106.308069999999</v>
      </c>
      <c r="J220" t="s">
        <v>156</v>
      </c>
      <c r="K220" t="s">
        <v>156</v>
      </c>
      <c r="L220">
        <v>12.7</v>
      </c>
      <c r="M220" t="s">
        <v>149</v>
      </c>
      <c r="N220">
        <v>1</v>
      </c>
      <c r="O220">
        <v>9.6999999999999993</v>
      </c>
      <c r="P220">
        <v>1</v>
      </c>
      <c r="Q220">
        <v>1050</v>
      </c>
      <c r="R220">
        <v>0.31692046299999999</v>
      </c>
      <c r="S220" t="s">
        <v>150</v>
      </c>
      <c r="T220">
        <v>21</v>
      </c>
      <c r="U220">
        <v>2</v>
      </c>
      <c r="V220">
        <v>21</v>
      </c>
      <c r="W220">
        <v>0</v>
      </c>
      <c r="X220" t="s">
        <v>151</v>
      </c>
      <c r="Y220" t="s">
        <v>152</v>
      </c>
    </row>
    <row r="221" spans="1:25">
      <c r="A221" t="s">
        <v>401</v>
      </c>
      <c r="B221" s="113">
        <v>43849</v>
      </c>
      <c r="C221" t="s">
        <v>145</v>
      </c>
      <c r="D221" t="s">
        <v>172</v>
      </c>
      <c r="E221">
        <v>51</v>
      </c>
      <c r="F221">
        <v>739</v>
      </c>
      <c r="G221" t="s">
        <v>169</v>
      </c>
      <c r="H221">
        <v>14109.65141</v>
      </c>
      <c r="J221" t="s">
        <v>148</v>
      </c>
      <c r="K221" t="s">
        <v>148</v>
      </c>
      <c r="L221">
        <v>9.1999999999999993</v>
      </c>
      <c r="M221" t="s">
        <v>149</v>
      </c>
      <c r="N221">
        <v>2</v>
      </c>
      <c r="O221">
        <v>10.4</v>
      </c>
      <c r="P221">
        <v>2</v>
      </c>
      <c r="Q221">
        <v>1600</v>
      </c>
      <c r="R221">
        <v>0.46397821900000003</v>
      </c>
      <c r="S221" t="s">
        <v>150</v>
      </c>
      <c r="T221">
        <v>23</v>
      </c>
      <c r="U221">
        <v>1</v>
      </c>
      <c r="V221">
        <v>23</v>
      </c>
      <c r="W221">
        <v>0</v>
      </c>
      <c r="X221" t="s">
        <v>149</v>
      </c>
      <c r="Y221" t="s">
        <v>157</v>
      </c>
    </row>
    <row r="222" spans="1:25">
      <c r="A222" t="s">
        <v>402</v>
      </c>
      <c r="B222" s="113">
        <v>43852</v>
      </c>
      <c r="C222" t="s">
        <v>162</v>
      </c>
      <c r="D222" t="s">
        <v>193</v>
      </c>
      <c r="E222">
        <v>32</v>
      </c>
      <c r="F222">
        <v>718</v>
      </c>
      <c r="G222" t="s">
        <v>147</v>
      </c>
      <c r="H222">
        <v>10939.64926</v>
      </c>
      <c r="I222">
        <v>10939.64926</v>
      </c>
      <c r="J222" t="s">
        <v>148</v>
      </c>
      <c r="K222" t="s">
        <v>148</v>
      </c>
      <c r="L222">
        <v>2.7</v>
      </c>
      <c r="M222" t="s">
        <v>149</v>
      </c>
      <c r="N222">
        <v>5</v>
      </c>
      <c r="O222">
        <v>3.9</v>
      </c>
      <c r="P222">
        <v>3</v>
      </c>
      <c r="Q222">
        <v>800</v>
      </c>
      <c r="R222">
        <v>0.59918344899999998</v>
      </c>
      <c r="S222" t="s">
        <v>150</v>
      </c>
      <c r="T222">
        <v>20</v>
      </c>
      <c r="U222">
        <v>1</v>
      </c>
      <c r="V222">
        <v>20</v>
      </c>
      <c r="W222">
        <v>0</v>
      </c>
      <c r="X222" t="s">
        <v>149</v>
      </c>
      <c r="Y222" t="s">
        <v>157</v>
      </c>
    </row>
    <row r="223" spans="1:25">
      <c r="A223" t="s">
        <v>403</v>
      </c>
      <c r="B223" s="113">
        <v>43855</v>
      </c>
      <c r="C223" t="s">
        <v>159</v>
      </c>
      <c r="D223" t="s">
        <v>165</v>
      </c>
      <c r="E223">
        <v>25</v>
      </c>
      <c r="F223">
        <v>807</v>
      </c>
      <c r="G223" t="s">
        <v>155</v>
      </c>
      <c r="H223">
        <v>43020.785369999998</v>
      </c>
      <c r="J223" t="s">
        <v>148</v>
      </c>
      <c r="K223" t="s">
        <v>148</v>
      </c>
      <c r="L223">
        <v>6</v>
      </c>
      <c r="M223" t="s">
        <v>149</v>
      </c>
      <c r="N223">
        <v>2</v>
      </c>
      <c r="O223">
        <v>2.1</v>
      </c>
      <c r="P223">
        <v>2</v>
      </c>
      <c r="Q223">
        <v>1400</v>
      </c>
      <c r="R223">
        <v>0.71908227899999999</v>
      </c>
      <c r="S223" t="s">
        <v>150</v>
      </c>
      <c r="T223">
        <v>19</v>
      </c>
      <c r="U223">
        <v>0</v>
      </c>
      <c r="V223">
        <v>19</v>
      </c>
      <c r="W223">
        <v>0</v>
      </c>
      <c r="X223" t="s">
        <v>149</v>
      </c>
      <c r="Y223" t="s">
        <v>157</v>
      </c>
    </row>
    <row r="224" spans="1:25">
      <c r="A224" t="s">
        <v>404</v>
      </c>
      <c r="B224" s="113">
        <v>43861</v>
      </c>
      <c r="C224" t="s">
        <v>145</v>
      </c>
      <c r="D224" t="s">
        <v>172</v>
      </c>
      <c r="E224">
        <v>27</v>
      </c>
      <c r="F224">
        <v>725</v>
      </c>
      <c r="G224" t="s">
        <v>169</v>
      </c>
      <c r="H224">
        <v>33132.13078</v>
      </c>
      <c r="I224">
        <v>33132.13078</v>
      </c>
      <c r="J224" t="s">
        <v>148</v>
      </c>
      <c r="K224" t="s">
        <v>148</v>
      </c>
      <c r="L224">
        <v>6.4</v>
      </c>
      <c r="M224" t="s">
        <v>149</v>
      </c>
      <c r="N224">
        <v>2</v>
      </c>
      <c r="O224">
        <v>0.5</v>
      </c>
      <c r="P224">
        <v>3</v>
      </c>
      <c r="Q224">
        <v>850</v>
      </c>
      <c r="R224">
        <v>0.82061183999999998</v>
      </c>
      <c r="S224" t="s">
        <v>150</v>
      </c>
      <c r="T224">
        <v>20</v>
      </c>
      <c r="U224">
        <v>0</v>
      </c>
      <c r="V224">
        <v>20</v>
      </c>
      <c r="W224">
        <v>0</v>
      </c>
      <c r="X224" t="s">
        <v>151</v>
      </c>
      <c r="Y224" t="s">
        <v>152</v>
      </c>
    </row>
    <row r="225" spans="1:25">
      <c r="A225" t="s">
        <v>405</v>
      </c>
      <c r="B225" s="113">
        <v>43862</v>
      </c>
      <c r="C225" t="s">
        <v>162</v>
      </c>
      <c r="D225" t="s">
        <v>179</v>
      </c>
      <c r="E225">
        <v>49</v>
      </c>
      <c r="F225">
        <v>699</v>
      </c>
      <c r="G225" t="s">
        <v>176</v>
      </c>
      <c r="H225">
        <v>89253.056089999998</v>
      </c>
      <c r="I225">
        <v>89253.056089999998</v>
      </c>
      <c r="J225" t="s">
        <v>249</v>
      </c>
      <c r="K225" t="s">
        <v>249</v>
      </c>
      <c r="L225">
        <v>3.9</v>
      </c>
      <c r="M225" t="s">
        <v>149</v>
      </c>
      <c r="N225">
        <v>0</v>
      </c>
      <c r="O225">
        <v>1.3</v>
      </c>
      <c r="P225">
        <v>2</v>
      </c>
      <c r="Q225">
        <v>1450</v>
      </c>
      <c r="R225">
        <v>0.90117851699999996</v>
      </c>
      <c r="S225" t="s">
        <v>150</v>
      </c>
      <c r="T225">
        <v>20</v>
      </c>
      <c r="U225">
        <v>1</v>
      </c>
      <c r="V225">
        <v>20</v>
      </c>
      <c r="W225">
        <v>0</v>
      </c>
      <c r="X225" t="s">
        <v>149</v>
      </c>
      <c r="Y225" t="s">
        <v>157</v>
      </c>
    </row>
    <row r="226" spans="1:25">
      <c r="A226" t="s">
        <v>406</v>
      </c>
      <c r="B226" s="113">
        <v>43863</v>
      </c>
      <c r="C226" t="s">
        <v>162</v>
      </c>
      <c r="D226" t="s">
        <v>187</v>
      </c>
      <c r="E226">
        <v>57</v>
      </c>
      <c r="F226">
        <v>776</v>
      </c>
      <c r="G226" t="s">
        <v>147</v>
      </c>
      <c r="H226">
        <v>66060.888120000003</v>
      </c>
      <c r="I226">
        <v>66060.888120000003</v>
      </c>
      <c r="J226" t="s">
        <v>148</v>
      </c>
      <c r="K226" t="s">
        <v>166</v>
      </c>
      <c r="L226">
        <v>12.3</v>
      </c>
      <c r="M226" t="s">
        <v>149</v>
      </c>
      <c r="N226">
        <v>4</v>
      </c>
      <c r="O226">
        <v>0.6</v>
      </c>
      <c r="P226">
        <v>1</v>
      </c>
      <c r="Q226">
        <v>1200</v>
      </c>
      <c r="R226">
        <v>0.95872419799999997</v>
      </c>
      <c r="S226" t="s">
        <v>150</v>
      </c>
      <c r="T226">
        <v>11</v>
      </c>
      <c r="U226">
        <v>0</v>
      </c>
      <c r="V226">
        <v>11</v>
      </c>
      <c r="W226">
        <v>0</v>
      </c>
      <c r="X226" t="s">
        <v>151</v>
      </c>
      <c r="Y226" t="s">
        <v>152</v>
      </c>
    </row>
    <row r="227" spans="1:25">
      <c r="A227" t="s">
        <v>407</v>
      </c>
      <c r="B227" s="113">
        <v>43863</v>
      </c>
      <c r="C227" t="s">
        <v>145</v>
      </c>
      <c r="D227" t="s">
        <v>154</v>
      </c>
      <c r="E227">
        <v>57</v>
      </c>
      <c r="F227">
        <v>607</v>
      </c>
      <c r="G227" t="s">
        <v>169</v>
      </c>
      <c r="H227">
        <v>45375.856489999998</v>
      </c>
      <c r="I227">
        <v>45375.856489999998</v>
      </c>
      <c r="J227" t="s">
        <v>148</v>
      </c>
      <c r="K227" t="s">
        <v>148</v>
      </c>
      <c r="L227">
        <v>1.8</v>
      </c>
      <c r="M227" t="s">
        <v>149</v>
      </c>
      <c r="N227">
        <v>2</v>
      </c>
      <c r="O227">
        <v>1.2</v>
      </c>
      <c r="P227">
        <v>3</v>
      </c>
      <c r="Q227">
        <v>1650</v>
      </c>
      <c r="R227">
        <v>0.99177885300000002</v>
      </c>
      <c r="S227" t="s">
        <v>198</v>
      </c>
      <c r="Y227" t="s">
        <v>199</v>
      </c>
    </row>
    <row r="228" spans="1:25">
      <c r="A228" t="s">
        <v>408</v>
      </c>
      <c r="B228" s="113">
        <v>43864</v>
      </c>
      <c r="C228" t="s">
        <v>159</v>
      </c>
      <c r="D228" t="s">
        <v>197</v>
      </c>
      <c r="E228">
        <v>43</v>
      </c>
      <c r="F228">
        <v>713</v>
      </c>
      <c r="G228" t="s">
        <v>155</v>
      </c>
      <c r="H228">
        <v>93634.770170000003</v>
      </c>
      <c r="I228">
        <v>93634.770170000003</v>
      </c>
      <c r="J228" t="s">
        <v>148</v>
      </c>
      <c r="K228" t="s">
        <v>148</v>
      </c>
      <c r="L228">
        <v>2.8</v>
      </c>
      <c r="M228" t="s">
        <v>149</v>
      </c>
      <c r="N228">
        <v>1</v>
      </c>
      <c r="O228">
        <v>1.5</v>
      </c>
      <c r="P228">
        <v>1</v>
      </c>
      <c r="Q228">
        <v>1150</v>
      </c>
      <c r="R228">
        <v>0.99949808900000003</v>
      </c>
      <c r="S228" t="s">
        <v>150</v>
      </c>
      <c r="T228">
        <v>15</v>
      </c>
      <c r="U228">
        <v>0</v>
      </c>
      <c r="V228">
        <v>15</v>
      </c>
      <c r="W228">
        <v>0</v>
      </c>
      <c r="X228" t="s">
        <v>149</v>
      </c>
      <c r="Y228" t="s">
        <v>157</v>
      </c>
    </row>
    <row r="229" spans="1:25">
      <c r="A229" t="s">
        <v>409</v>
      </c>
      <c r="B229" s="113">
        <v>43867</v>
      </c>
      <c r="C229" t="s">
        <v>162</v>
      </c>
      <c r="D229" t="s">
        <v>179</v>
      </c>
      <c r="E229">
        <v>43</v>
      </c>
      <c r="F229">
        <v>759</v>
      </c>
      <c r="G229" t="s">
        <v>169</v>
      </c>
      <c r="H229">
        <v>60820.842340000003</v>
      </c>
      <c r="I229">
        <v>60820.842340000003</v>
      </c>
      <c r="J229" t="s">
        <v>183</v>
      </c>
      <c r="K229" t="s">
        <v>183</v>
      </c>
      <c r="L229">
        <v>4.5</v>
      </c>
      <c r="M229" t="s">
        <v>149</v>
      </c>
      <c r="N229">
        <v>2</v>
      </c>
      <c r="O229">
        <v>1.4</v>
      </c>
      <c r="P229">
        <v>2</v>
      </c>
      <c r="Q229">
        <v>800</v>
      </c>
      <c r="R229">
        <v>0.98168471199999996</v>
      </c>
      <c r="S229" t="s">
        <v>150</v>
      </c>
      <c r="T229">
        <v>22</v>
      </c>
      <c r="U229">
        <v>0</v>
      </c>
      <c r="V229">
        <v>22</v>
      </c>
      <c r="W229">
        <v>0</v>
      </c>
      <c r="X229" t="s">
        <v>149</v>
      </c>
      <c r="Y229" t="s">
        <v>157</v>
      </c>
    </row>
    <row r="230" spans="1:25">
      <c r="A230" t="s">
        <v>410</v>
      </c>
      <c r="B230" s="113">
        <v>43869</v>
      </c>
      <c r="C230" t="s">
        <v>162</v>
      </c>
      <c r="D230" t="s">
        <v>179</v>
      </c>
      <c r="E230">
        <v>41</v>
      </c>
      <c r="F230">
        <v>541</v>
      </c>
      <c r="G230" t="s">
        <v>155</v>
      </c>
      <c r="H230">
        <v>98629.836660000001</v>
      </c>
      <c r="I230">
        <v>98629.836660000001</v>
      </c>
      <c r="J230" t="s">
        <v>148</v>
      </c>
      <c r="K230" t="s">
        <v>148</v>
      </c>
      <c r="L230">
        <v>0.2</v>
      </c>
      <c r="M230" t="s">
        <v>149</v>
      </c>
      <c r="N230">
        <v>6</v>
      </c>
      <c r="O230">
        <v>0.8</v>
      </c>
      <c r="P230">
        <v>4</v>
      </c>
      <c r="Q230">
        <v>800</v>
      </c>
      <c r="R230">
        <v>0.93879377500000005</v>
      </c>
      <c r="S230" t="s">
        <v>150</v>
      </c>
      <c r="T230">
        <v>15</v>
      </c>
      <c r="U230">
        <v>0</v>
      </c>
      <c r="V230">
        <v>15</v>
      </c>
      <c r="W230">
        <v>0</v>
      </c>
      <c r="X230" t="s">
        <v>149</v>
      </c>
      <c r="Y230" t="s">
        <v>157</v>
      </c>
    </row>
    <row r="231" spans="1:25">
      <c r="A231" t="s">
        <v>411</v>
      </c>
      <c r="B231" s="113">
        <v>43869</v>
      </c>
      <c r="C231" t="s">
        <v>162</v>
      </c>
      <c r="D231" t="s">
        <v>193</v>
      </c>
      <c r="E231">
        <v>47</v>
      </c>
      <c r="F231">
        <v>710</v>
      </c>
      <c r="G231" t="s">
        <v>176</v>
      </c>
      <c r="H231">
        <v>53810.85007</v>
      </c>
      <c r="I231">
        <v>53810.85007</v>
      </c>
      <c r="J231" t="s">
        <v>148</v>
      </c>
      <c r="K231" t="s">
        <v>148</v>
      </c>
      <c r="L231">
        <v>3.7</v>
      </c>
      <c r="M231" t="s">
        <v>149</v>
      </c>
      <c r="N231">
        <v>1</v>
      </c>
      <c r="O231">
        <v>12.1</v>
      </c>
      <c r="P231">
        <v>3</v>
      </c>
      <c r="Q231">
        <v>1000</v>
      </c>
      <c r="R231">
        <v>0.871920943</v>
      </c>
      <c r="S231" t="s">
        <v>150</v>
      </c>
      <c r="T231">
        <v>18</v>
      </c>
      <c r="U231">
        <v>0</v>
      </c>
      <c r="V231">
        <v>18</v>
      </c>
      <c r="W231">
        <v>0</v>
      </c>
      <c r="X231" t="s">
        <v>151</v>
      </c>
      <c r="Y231" t="s">
        <v>152</v>
      </c>
    </row>
    <row r="232" spans="1:25">
      <c r="A232" t="s">
        <v>412</v>
      </c>
      <c r="B232" s="113">
        <v>43871</v>
      </c>
      <c r="C232" t="s">
        <v>162</v>
      </c>
      <c r="D232" t="s">
        <v>190</v>
      </c>
      <c r="E232">
        <v>59</v>
      </c>
      <c r="F232">
        <v>775</v>
      </c>
      <c r="G232" t="s">
        <v>147</v>
      </c>
      <c r="H232">
        <v>19196.832780000001</v>
      </c>
      <c r="J232" t="s">
        <v>148</v>
      </c>
      <c r="K232" t="s">
        <v>148</v>
      </c>
      <c r="L232">
        <v>8.8000000000000007</v>
      </c>
      <c r="M232" t="s">
        <v>151</v>
      </c>
      <c r="N232">
        <v>2</v>
      </c>
      <c r="O232">
        <v>5.7</v>
      </c>
      <c r="P232">
        <v>3</v>
      </c>
      <c r="Q232">
        <v>1600</v>
      </c>
      <c r="R232">
        <v>0.78277451399999998</v>
      </c>
      <c r="S232" t="s">
        <v>150</v>
      </c>
      <c r="T232">
        <v>22</v>
      </c>
      <c r="U232">
        <v>1</v>
      </c>
      <c r="V232">
        <v>22</v>
      </c>
      <c r="W232">
        <v>0</v>
      </c>
      <c r="X232" t="s">
        <v>149</v>
      </c>
      <c r="Y232" t="s">
        <v>157</v>
      </c>
    </row>
    <row r="233" spans="1:25">
      <c r="A233" t="s">
        <v>413</v>
      </c>
      <c r="B233" s="113">
        <v>43872</v>
      </c>
      <c r="C233" t="s">
        <v>159</v>
      </c>
      <c r="D233" t="s">
        <v>209</v>
      </c>
      <c r="E233">
        <v>55</v>
      </c>
      <c r="F233">
        <v>751</v>
      </c>
      <c r="G233" t="s">
        <v>155</v>
      </c>
      <c r="H233">
        <v>51254.438430000002</v>
      </c>
      <c r="I233">
        <v>51254.438430000002</v>
      </c>
      <c r="J233" t="s">
        <v>148</v>
      </c>
      <c r="K233" t="s">
        <v>166</v>
      </c>
      <c r="L233">
        <v>4.4000000000000004</v>
      </c>
      <c r="M233" t="s">
        <v>149</v>
      </c>
      <c r="N233">
        <v>0</v>
      </c>
      <c r="O233">
        <v>9.6999999999999993</v>
      </c>
      <c r="P233">
        <v>3</v>
      </c>
      <c r="Q233">
        <v>1400</v>
      </c>
      <c r="R233">
        <v>0.67363176999999996</v>
      </c>
      <c r="S233" t="s">
        <v>150</v>
      </c>
      <c r="T233">
        <v>13</v>
      </c>
      <c r="U233">
        <v>0</v>
      </c>
      <c r="V233">
        <v>13</v>
      </c>
      <c r="W233">
        <v>0</v>
      </c>
      <c r="X233" t="s">
        <v>149</v>
      </c>
      <c r="Y233" t="s">
        <v>157</v>
      </c>
    </row>
    <row r="234" spans="1:25">
      <c r="A234" t="s">
        <v>414</v>
      </c>
      <c r="B234" s="113">
        <v>43872</v>
      </c>
      <c r="C234" t="s">
        <v>162</v>
      </c>
      <c r="D234" t="s">
        <v>190</v>
      </c>
      <c r="E234">
        <v>38</v>
      </c>
      <c r="F234">
        <v>664</v>
      </c>
      <c r="G234" t="s">
        <v>155</v>
      </c>
      <c r="H234">
        <v>15334.23898</v>
      </c>
      <c r="I234">
        <v>15334.23898</v>
      </c>
      <c r="J234" t="s">
        <v>148</v>
      </c>
      <c r="K234" t="s">
        <v>148</v>
      </c>
      <c r="L234">
        <v>1.3</v>
      </c>
      <c r="M234" t="s">
        <v>151</v>
      </c>
      <c r="N234">
        <v>2</v>
      </c>
      <c r="O234">
        <v>0.1</v>
      </c>
      <c r="P234">
        <v>3</v>
      </c>
      <c r="Q234">
        <v>800</v>
      </c>
      <c r="R234">
        <v>0.54728081100000003</v>
      </c>
      <c r="S234" t="s">
        <v>198</v>
      </c>
      <c r="Y234" t="s">
        <v>199</v>
      </c>
    </row>
    <row r="235" spans="1:25">
      <c r="A235" t="s">
        <v>415</v>
      </c>
      <c r="B235" s="113">
        <v>43872</v>
      </c>
      <c r="C235" t="s">
        <v>162</v>
      </c>
      <c r="D235" t="s">
        <v>193</v>
      </c>
      <c r="E235">
        <v>61</v>
      </c>
      <c r="F235">
        <v>538</v>
      </c>
      <c r="G235" t="s">
        <v>155</v>
      </c>
      <c r="H235">
        <v>50584.81955</v>
      </c>
      <c r="J235" t="s">
        <v>148</v>
      </c>
      <c r="K235" t="s">
        <v>148</v>
      </c>
      <c r="L235">
        <v>2.2000000000000002</v>
      </c>
      <c r="M235" t="s">
        <v>149</v>
      </c>
      <c r="N235">
        <v>3</v>
      </c>
      <c r="O235">
        <v>3.2</v>
      </c>
      <c r="P235">
        <v>3</v>
      </c>
      <c r="Q235">
        <v>1200</v>
      </c>
      <c r="R235">
        <v>0.406949326</v>
      </c>
      <c r="S235" t="s">
        <v>150</v>
      </c>
      <c r="T235">
        <v>12</v>
      </c>
      <c r="U235">
        <v>0</v>
      </c>
      <c r="V235">
        <v>12</v>
      </c>
      <c r="W235">
        <v>0</v>
      </c>
      <c r="X235" t="s">
        <v>151</v>
      </c>
      <c r="Y235" t="s">
        <v>152</v>
      </c>
    </row>
    <row r="236" spans="1:25">
      <c r="A236" t="s">
        <v>416</v>
      </c>
      <c r="B236" s="113">
        <v>43874</v>
      </c>
      <c r="C236" t="s">
        <v>162</v>
      </c>
      <c r="D236" t="s">
        <v>193</v>
      </c>
      <c r="E236">
        <v>41</v>
      </c>
      <c r="F236">
        <v>781</v>
      </c>
      <c r="G236" t="s">
        <v>155</v>
      </c>
      <c r="H236">
        <v>43696.099679999999</v>
      </c>
      <c r="J236" t="s">
        <v>148</v>
      </c>
      <c r="K236" t="s">
        <v>148</v>
      </c>
      <c r="L236">
        <v>0.3</v>
      </c>
      <c r="M236" t="s">
        <v>151</v>
      </c>
      <c r="N236">
        <v>2</v>
      </c>
      <c r="O236">
        <v>3.5</v>
      </c>
      <c r="P236">
        <v>2</v>
      </c>
      <c r="Q236">
        <v>1750</v>
      </c>
      <c r="R236">
        <v>0.25622214500000001</v>
      </c>
      <c r="S236" t="s">
        <v>150</v>
      </c>
      <c r="T236">
        <v>20</v>
      </c>
      <c r="U236">
        <v>0</v>
      </c>
      <c r="V236">
        <v>20</v>
      </c>
      <c r="W236">
        <v>0</v>
      </c>
      <c r="X236" t="s">
        <v>149</v>
      </c>
      <c r="Y236" t="s">
        <v>157</v>
      </c>
    </row>
    <row r="237" spans="1:25">
      <c r="A237" t="s">
        <v>417</v>
      </c>
      <c r="B237" s="113">
        <v>43875</v>
      </c>
      <c r="C237" t="s">
        <v>159</v>
      </c>
      <c r="D237" t="s">
        <v>168</v>
      </c>
      <c r="E237">
        <v>45</v>
      </c>
      <c r="F237">
        <v>824</v>
      </c>
      <c r="G237" t="s">
        <v>176</v>
      </c>
      <c r="H237">
        <v>38782.13579</v>
      </c>
      <c r="I237">
        <v>38782.13579</v>
      </c>
      <c r="J237" t="s">
        <v>148</v>
      </c>
      <c r="K237" t="s">
        <v>148</v>
      </c>
      <c r="L237">
        <v>2</v>
      </c>
      <c r="M237" t="s">
        <v>149</v>
      </c>
      <c r="N237">
        <v>6</v>
      </c>
      <c r="O237">
        <v>5</v>
      </c>
      <c r="P237">
        <v>4</v>
      </c>
      <c r="Q237">
        <v>1200</v>
      </c>
      <c r="R237">
        <v>9.8949657999999996E-2</v>
      </c>
      <c r="S237" t="s">
        <v>150</v>
      </c>
      <c r="T237">
        <v>12</v>
      </c>
      <c r="U237">
        <v>0</v>
      </c>
      <c r="V237">
        <v>12</v>
      </c>
      <c r="W237">
        <v>0</v>
      </c>
      <c r="X237" t="s">
        <v>149</v>
      </c>
      <c r="Y237" t="s">
        <v>157</v>
      </c>
    </row>
    <row r="238" spans="1:25">
      <c r="A238" t="s">
        <v>418</v>
      </c>
      <c r="B238" s="113">
        <v>43877</v>
      </c>
      <c r="C238" t="s">
        <v>162</v>
      </c>
      <c r="D238" t="s">
        <v>187</v>
      </c>
      <c r="E238">
        <v>29</v>
      </c>
      <c r="F238">
        <v>786</v>
      </c>
      <c r="G238" t="s">
        <v>169</v>
      </c>
      <c r="H238">
        <v>39169.415809999999</v>
      </c>
      <c r="J238" t="s">
        <v>183</v>
      </c>
      <c r="K238" t="s">
        <v>183</v>
      </c>
      <c r="L238">
        <v>1.4</v>
      </c>
      <c r="M238" t="s">
        <v>149</v>
      </c>
      <c r="N238">
        <v>3</v>
      </c>
      <c r="O238">
        <v>11.8</v>
      </c>
      <c r="P238">
        <v>3</v>
      </c>
      <c r="Q238">
        <v>1250</v>
      </c>
      <c r="R238">
        <v>6.0850541000000001E-2</v>
      </c>
      <c r="S238" t="s">
        <v>150</v>
      </c>
      <c r="T238">
        <v>23</v>
      </c>
      <c r="U238">
        <v>1</v>
      </c>
      <c r="V238">
        <v>23</v>
      </c>
      <c r="W238">
        <v>0</v>
      </c>
      <c r="X238" t="s">
        <v>149</v>
      </c>
      <c r="Y238" t="s">
        <v>157</v>
      </c>
    </row>
    <row r="239" spans="1:25">
      <c r="A239" t="s">
        <v>419</v>
      </c>
      <c r="B239" s="113">
        <v>43877</v>
      </c>
      <c r="C239" t="s">
        <v>159</v>
      </c>
      <c r="D239" t="s">
        <v>168</v>
      </c>
      <c r="E239">
        <v>31</v>
      </c>
      <c r="F239">
        <v>815</v>
      </c>
      <c r="G239" t="s">
        <v>169</v>
      </c>
      <c r="H239">
        <v>43758.460740000002</v>
      </c>
      <c r="J239" t="s">
        <v>148</v>
      </c>
      <c r="K239" t="s">
        <v>148</v>
      </c>
      <c r="L239">
        <v>0.7</v>
      </c>
      <c r="M239" t="s">
        <v>149</v>
      </c>
      <c r="N239">
        <v>2</v>
      </c>
      <c r="O239">
        <v>6.5</v>
      </c>
      <c r="P239">
        <v>4</v>
      </c>
      <c r="Q239">
        <v>800</v>
      </c>
      <c r="R239">
        <v>0.219096287</v>
      </c>
      <c r="S239" t="s">
        <v>150</v>
      </c>
      <c r="T239">
        <v>7</v>
      </c>
      <c r="U239">
        <v>1</v>
      </c>
      <c r="V239">
        <v>7</v>
      </c>
      <c r="W239">
        <v>0</v>
      </c>
      <c r="X239" t="s">
        <v>151</v>
      </c>
      <c r="Y239" t="s">
        <v>152</v>
      </c>
    </row>
    <row r="240" spans="1:25">
      <c r="A240" t="s">
        <v>420</v>
      </c>
      <c r="B240" s="113">
        <v>43877</v>
      </c>
      <c r="C240" t="s">
        <v>159</v>
      </c>
      <c r="D240" t="s">
        <v>168</v>
      </c>
      <c r="E240">
        <v>27</v>
      </c>
      <c r="F240">
        <v>535</v>
      </c>
      <c r="G240" t="s">
        <v>147</v>
      </c>
      <c r="H240">
        <v>48027.818749999999</v>
      </c>
      <c r="I240">
        <v>48027.818749999999</v>
      </c>
      <c r="J240" t="s">
        <v>148</v>
      </c>
      <c r="K240" t="s">
        <v>148</v>
      </c>
      <c r="L240">
        <v>9.3000000000000007</v>
      </c>
      <c r="M240" t="s">
        <v>149</v>
      </c>
      <c r="N240">
        <v>5</v>
      </c>
      <c r="O240">
        <v>5.7</v>
      </c>
      <c r="P240">
        <v>3</v>
      </c>
      <c r="Q240">
        <v>1250</v>
      </c>
      <c r="R240">
        <v>0.37174512300000001</v>
      </c>
      <c r="S240" t="s">
        <v>150</v>
      </c>
      <c r="T240">
        <v>22</v>
      </c>
      <c r="U240">
        <v>0</v>
      </c>
      <c r="V240">
        <v>22</v>
      </c>
      <c r="W240">
        <v>0</v>
      </c>
      <c r="X240" t="s">
        <v>151</v>
      </c>
      <c r="Y240" t="s">
        <v>152</v>
      </c>
    </row>
    <row r="241" spans="1:25">
      <c r="A241" t="s">
        <v>421</v>
      </c>
      <c r="B241" s="113">
        <v>43879</v>
      </c>
      <c r="C241" t="s">
        <v>145</v>
      </c>
      <c r="D241" t="s">
        <v>146</v>
      </c>
      <c r="E241">
        <v>35</v>
      </c>
      <c r="F241">
        <v>761</v>
      </c>
      <c r="G241" t="s">
        <v>169</v>
      </c>
      <c r="H241">
        <v>14699.71653</v>
      </c>
      <c r="I241">
        <v>14699.71653</v>
      </c>
      <c r="J241" t="s">
        <v>148</v>
      </c>
      <c r="K241" t="s">
        <v>148</v>
      </c>
      <c r="L241">
        <v>8.6999999999999993</v>
      </c>
      <c r="M241" t="s">
        <v>149</v>
      </c>
      <c r="N241">
        <v>0</v>
      </c>
      <c r="O241">
        <v>1.6</v>
      </c>
      <c r="P241">
        <v>2</v>
      </c>
      <c r="Q241">
        <v>800</v>
      </c>
      <c r="R241">
        <v>0.51489756900000005</v>
      </c>
      <c r="S241" t="s">
        <v>198</v>
      </c>
      <c r="Y241" t="s">
        <v>199</v>
      </c>
    </row>
    <row r="242" spans="1:25">
      <c r="A242" t="s">
        <v>422</v>
      </c>
      <c r="B242" s="113">
        <v>43883</v>
      </c>
      <c r="C242" t="s">
        <v>162</v>
      </c>
      <c r="D242" t="s">
        <v>190</v>
      </c>
      <c r="E242">
        <v>44</v>
      </c>
      <c r="F242">
        <v>602</v>
      </c>
      <c r="G242" t="s">
        <v>155</v>
      </c>
      <c r="H242">
        <v>17606.799569999999</v>
      </c>
      <c r="I242">
        <v>17606.799569999999</v>
      </c>
      <c r="J242" t="s">
        <v>170</v>
      </c>
      <c r="K242" t="s">
        <v>170</v>
      </c>
      <c r="L242">
        <v>1.6</v>
      </c>
      <c r="M242" t="s">
        <v>149</v>
      </c>
      <c r="N242">
        <v>2</v>
      </c>
      <c r="O242">
        <v>1</v>
      </c>
      <c r="P242">
        <v>3</v>
      </c>
      <c r="Q242">
        <v>1300</v>
      </c>
      <c r="R242">
        <v>0.64489673300000006</v>
      </c>
      <c r="S242" t="s">
        <v>198</v>
      </c>
      <c r="Y242" t="s">
        <v>199</v>
      </c>
    </row>
    <row r="243" spans="1:25">
      <c r="A243" t="s">
        <v>423</v>
      </c>
      <c r="B243" s="113">
        <v>43884</v>
      </c>
      <c r="C243" t="s">
        <v>162</v>
      </c>
      <c r="D243" t="s">
        <v>193</v>
      </c>
      <c r="E243">
        <v>28</v>
      </c>
      <c r="F243">
        <v>729</v>
      </c>
      <c r="G243" t="s">
        <v>155</v>
      </c>
      <c r="H243">
        <v>42470.782939999997</v>
      </c>
      <c r="J243" t="s">
        <v>148</v>
      </c>
      <c r="K243" t="s">
        <v>148</v>
      </c>
      <c r="L243">
        <v>1.6</v>
      </c>
      <c r="M243" t="s">
        <v>149</v>
      </c>
      <c r="N243">
        <v>6</v>
      </c>
      <c r="O243">
        <v>3.3</v>
      </c>
      <c r="P243">
        <v>3</v>
      </c>
      <c r="Q243">
        <v>1500</v>
      </c>
      <c r="R243">
        <v>0.75842173099999999</v>
      </c>
      <c r="S243" t="s">
        <v>150</v>
      </c>
      <c r="T243">
        <v>11</v>
      </c>
      <c r="U243">
        <v>0</v>
      </c>
      <c r="V243">
        <v>11</v>
      </c>
      <c r="W243">
        <v>0</v>
      </c>
      <c r="X243" t="s">
        <v>151</v>
      </c>
      <c r="Y243" t="s">
        <v>152</v>
      </c>
    </row>
    <row r="244" spans="1:25">
      <c r="A244" t="s">
        <v>424</v>
      </c>
      <c r="B244" s="113">
        <v>43885</v>
      </c>
      <c r="C244" t="s">
        <v>162</v>
      </c>
      <c r="D244" t="s">
        <v>190</v>
      </c>
      <c r="E244">
        <v>46</v>
      </c>
      <c r="F244">
        <v>809</v>
      </c>
      <c r="G244" t="s">
        <v>176</v>
      </c>
      <c r="H244">
        <v>32567.07733</v>
      </c>
      <c r="I244">
        <v>32567.07733</v>
      </c>
      <c r="J244" t="s">
        <v>148</v>
      </c>
      <c r="K244" t="s">
        <v>166</v>
      </c>
      <c r="L244">
        <v>2.8</v>
      </c>
      <c r="M244" t="s">
        <v>149</v>
      </c>
      <c r="N244">
        <v>4</v>
      </c>
      <c r="O244">
        <v>3</v>
      </c>
      <c r="P244">
        <v>3</v>
      </c>
      <c r="Q244">
        <v>1350</v>
      </c>
      <c r="R244">
        <v>0.85257251700000003</v>
      </c>
      <c r="S244" t="s">
        <v>150</v>
      </c>
      <c r="T244">
        <v>14</v>
      </c>
      <c r="U244">
        <v>1</v>
      </c>
      <c r="V244">
        <v>14</v>
      </c>
      <c r="W244">
        <v>1</v>
      </c>
      <c r="X244" t="s">
        <v>149</v>
      </c>
      <c r="Y244" t="s">
        <v>157</v>
      </c>
    </row>
    <row r="245" spans="1:25">
      <c r="A245" t="s">
        <v>425</v>
      </c>
      <c r="B245" s="113">
        <v>43886</v>
      </c>
      <c r="C245" t="s">
        <v>162</v>
      </c>
      <c r="D245" t="s">
        <v>195</v>
      </c>
      <c r="E245">
        <v>39</v>
      </c>
      <c r="F245">
        <v>706</v>
      </c>
      <c r="G245" t="s">
        <v>176</v>
      </c>
      <c r="H245">
        <v>153734.8811</v>
      </c>
      <c r="I245">
        <v>153734.8811</v>
      </c>
      <c r="J245" t="s">
        <v>148</v>
      </c>
      <c r="K245" t="s">
        <v>148</v>
      </c>
      <c r="L245">
        <v>5.9</v>
      </c>
      <c r="M245" t="s">
        <v>149</v>
      </c>
      <c r="N245">
        <v>2</v>
      </c>
      <c r="O245">
        <v>22.3</v>
      </c>
      <c r="P245">
        <v>3</v>
      </c>
      <c r="Q245">
        <v>800</v>
      </c>
      <c r="R245">
        <v>0.92494396899999998</v>
      </c>
      <c r="S245" t="s">
        <v>150</v>
      </c>
      <c r="T245">
        <v>12</v>
      </c>
      <c r="U245">
        <v>1</v>
      </c>
      <c r="V245">
        <v>12</v>
      </c>
      <c r="W245">
        <v>0</v>
      </c>
      <c r="X245" t="s">
        <v>149</v>
      </c>
      <c r="Y245" t="s">
        <v>157</v>
      </c>
    </row>
    <row r="246" spans="1:25">
      <c r="A246" t="s">
        <v>426</v>
      </c>
      <c r="B246" s="113">
        <v>43887</v>
      </c>
      <c r="C246" t="s">
        <v>159</v>
      </c>
      <c r="D246" t="s">
        <v>209</v>
      </c>
      <c r="E246">
        <v>64</v>
      </c>
      <c r="F246">
        <v>722</v>
      </c>
      <c r="G246" t="s">
        <v>147</v>
      </c>
      <c r="H246">
        <v>22346.128290000001</v>
      </c>
      <c r="I246">
        <v>22346.128290000001</v>
      </c>
      <c r="J246" t="s">
        <v>170</v>
      </c>
      <c r="K246" t="s">
        <v>166</v>
      </c>
      <c r="L246">
        <v>9.9</v>
      </c>
      <c r="M246" t="s">
        <v>149</v>
      </c>
      <c r="N246">
        <v>2</v>
      </c>
      <c r="O246">
        <v>14.9</v>
      </c>
      <c r="P246">
        <v>3</v>
      </c>
      <c r="Q246">
        <v>1450</v>
      </c>
      <c r="R246">
        <v>0.97368732599999996</v>
      </c>
      <c r="S246" t="s">
        <v>150</v>
      </c>
      <c r="T246">
        <v>20</v>
      </c>
      <c r="U246">
        <v>0</v>
      </c>
      <c r="V246">
        <v>20</v>
      </c>
      <c r="W246">
        <v>0</v>
      </c>
      <c r="X246" t="s">
        <v>149</v>
      </c>
      <c r="Y246" t="s">
        <v>157</v>
      </c>
    </row>
    <row r="247" spans="1:25">
      <c r="A247" t="s">
        <v>427</v>
      </c>
      <c r="B247" s="113">
        <v>43890</v>
      </c>
      <c r="C247" t="s">
        <v>159</v>
      </c>
      <c r="D247" t="s">
        <v>160</v>
      </c>
      <c r="E247">
        <v>54</v>
      </c>
      <c r="F247">
        <v>766</v>
      </c>
      <c r="G247" t="s">
        <v>169</v>
      </c>
      <c r="H247">
        <v>56804.850709999999</v>
      </c>
      <c r="I247">
        <v>56804.850709999999</v>
      </c>
      <c r="J247" t="s">
        <v>148</v>
      </c>
      <c r="K247" t="s">
        <v>148</v>
      </c>
      <c r="L247">
        <v>4.2</v>
      </c>
      <c r="M247" t="s">
        <v>149</v>
      </c>
      <c r="N247">
        <v>2</v>
      </c>
      <c r="O247">
        <v>2.2000000000000002</v>
      </c>
      <c r="P247">
        <v>3</v>
      </c>
      <c r="Q247">
        <v>1550</v>
      </c>
      <c r="R247">
        <v>0.99755741899999995</v>
      </c>
      <c r="S247" t="s">
        <v>150</v>
      </c>
      <c r="T247">
        <v>22</v>
      </c>
      <c r="U247">
        <v>2</v>
      </c>
      <c r="V247">
        <v>22</v>
      </c>
      <c r="W247">
        <v>0</v>
      </c>
      <c r="X247" t="s">
        <v>149</v>
      </c>
      <c r="Y247" t="s">
        <v>157</v>
      </c>
    </row>
    <row r="248" spans="1:25">
      <c r="A248" t="s">
        <v>428</v>
      </c>
      <c r="B248" s="113">
        <v>43890</v>
      </c>
      <c r="C248" t="s">
        <v>162</v>
      </c>
      <c r="D248" t="s">
        <v>193</v>
      </c>
      <c r="E248">
        <v>40</v>
      </c>
      <c r="F248">
        <v>827</v>
      </c>
      <c r="G248" t="s">
        <v>169</v>
      </c>
      <c r="H248">
        <v>26923.528699999999</v>
      </c>
      <c r="I248">
        <v>26923.528699999999</v>
      </c>
      <c r="J248" t="s">
        <v>183</v>
      </c>
      <c r="K248" t="s">
        <v>183</v>
      </c>
      <c r="L248">
        <v>0</v>
      </c>
      <c r="M248" t="s">
        <v>149</v>
      </c>
      <c r="N248">
        <v>0</v>
      </c>
      <c r="O248">
        <v>2.2999999999999998</v>
      </c>
      <c r="P248">
        <v>4</v>
      </c>
      <c r="Q248">
        <v>1350</v>
      </c>
      <c r="R248">
        <v>0.99594447500000005</v>
      </c>
      <c r="S248" t="s">
        <v>198</v>
      </c>
      <c r="Y248" t="s">
        <v>199</v>
      </c>
    </row>
    <row r="249" spans="1:25">
      <c r="A249" t="s">
        <v>429</v>
      </c>
      <c r="B249" s="113">
        <v>43894</v>
      </c>
      <c r="C249" t="s">
        <v>162</v>
      </c>
      <c r="D249" t="s">
        <v>193</v>
      </c>
      <c r="E249">
        <v>51</v>
      </c>
      <c r="F249">
        <v>788</v>
      </c>
      <c r="G249" t="s">
        <v>155</v>
      </c>
      <c r="H249">
        <v>46030.251779999999</v>
      </c>
      <c r="I249">
        <v>46030.251779999999</v>
      </c>
      <c r="J249" t="s">
        <v>170</v>
      </c>
      <c r="K249" t="s">
        <v>166</v>
      </c>
      <c r="L249">
        <v>2.2000000000000002</v>
      </c>
      <c r="M249" t="s">
        <v>149</v>
      </c>
      <c r="N249">
        <v>2</v>
      </c>
      <c r="O249">
        <v>4.5999999999999996</v>
      </c>
      <c r="P249">
        <v>1</v>
      </c>
      <c r="Q249">
        <v>1200</v>
      </c>
      <c r="R249">
        <v>0.96888969800000002</v>
      </c>
      <c r="S249" t="s">
        <v>150</v>
      </c>
      <c r="T249">
        <v>13</v>
      </c>
      <c r="U249">
        <v>1</v>
      </c>
      <c r="V249">
        <v>13</v>
      </c>
      <c r="W249">
        <v>0</v>
      </c>
      <c r="X249" t="s">
        <v>149</v>
      </c>
      <c r="Y249" t="s">
        <v>157</v>
      </c>
    </row>
    <row r="250" spans="1:25">
      <c r="A250" t="s">
        <v>430</v>
      </c>
      <c r="B250" s="113">
        <v>43898</v>
      </c>
      <c r="C250" t="s">
        <v>145</v>
      </c>
      <c r="D250" t="s">
        <v>280</v>
      </c>
      <c r="E250">
        <v>40</v>
      </c>
      <c r="F250">
        <v>624</v>
      </c>
      <c r="G250" t="s">
        <v>155</v>
      </c>
      <c r="H250">
        <v>95192.412190000003</v>
      </c>
      <c r="I250">
        <v>95192.412190000003</v>
      </c>
      <c r="J250" t="s">
        <v>148</v>
      </c>
      <c r="K250" t="s">
        <v>148</v>
      </c>
      <c r="L250">
        <v>3.2</v>
      </c>
      <c r="M250" t="s">
        <v>149</v>
      </c>
      <c r="N250">
        <v>1</v>
      </c>
      <c r="O250">
        <v>2.5</v>
      </c>
      <c r="P250">
        <v>3</v>
      </c>
      <c r="Q250">
        <v>1500</v>
      </c>
      <c r="R250">
        <v>0.91708421500000004</v>
      </c>
      <c r="S250" t="s">
        <v>150</v>
      </c>
      <c r="T250">
        <v>17</v>
      </c>
      <c r="U250">
        <v>0</v>
      </c>
      <c r="V250">
        <v>17</v>
      </c>
      <c r="W250">
        <v>0</v>
      </c>
      <c r="X250" t="s">
        <v>151</v>
      </c>
      <c r="Y250" t="s">
        <v>152</v>
      </c>
    </row>
    <row r="251" spans="1:25">
      <c r="A251" t="s">
        <v>431</v>
      </c>
      <c r="B251" s="113">
        <v>43899</v>
      </c>
      <c r="C251" t="s">
        <v>159</v>
      </c>
      <c r="D251" t="s">
        <v>160</v>
      </c>
      <c r="E251">
        <v>38</v>
      </c>
      <c r="F251">
        <v>787</v>
      </c>
      <c r="G251" t="s">
        <v>155</v>
      </c>
      <c r="H251">
        <v>31288.765210000001</v>
      </c>
      <c r="J251" t="s">
        <v>170</v>
      </c>
      <c r="K251" t="s">
        <v>166</v>
      </c>
      <c r="L251">
        <v>6.8</v>
      </c>
      <c r="M251" t="s">
        <v>149</v>
      </c>
      <c r="N251">
        <v>1</v>
      </c>
      <c r="O251">
        <v>1.3</v>
      </c>
      <c r="P251">
        <v>2</v>
      </c>
      <c r="Q251">
        <v>1250</v>
      </c>
      <c r="R251">
        <v>0.84185141699999999</v>
      </c>
      <c r="S251" t="s">
        <v>150</v>
      </c>
      <c r="T251">
        <v>22</v>
      </c>
      <c r="U251">
        <v>1</v>
      </c>
      <c r="V251">
        <v>22</v>
      </c>
      <c r="W251">
        <v>0</v>
      </c>
      <c r="X251" t="s">
        <v>151</v>
      </c>
      <c r="Y251" t="s">
        <v>152</v>
      </c>
    </row>
    <row r="252" spans="1:25">
      <c r="A252" t="s">
        <v>432</v>
      </c>
      <c r="B252" s="113">
        <v>43901</v>
      </c>
      <c r="C252" t="s">
        <v>159</v>
      </c>
      <c r="D252" t="s">
        <v>197</v>
      </c>
      <c r="E252">
        <v>39</v>
      </c>
      <c r="F252">
        <v>671</v>
      </c>
      <c r="G252" t="s">
        <v>147</v>
      </c>
      <c r="H252">
        <v>96055.651629999993</v>
      </c>
      <c r="I252">
        <v>96055.651629999993</v>
      </c>
      <c r="J252" t="s">
        <v>183</v>
      </c>
      <c r="K252" t="s">
        <v>166</v>
      </c>
      <c r="L252">
        <v>2.4</v>
      </c>
      <c r="M252" t="s">
        <v>149</v>
      </c>
      <c r="N252">
        <v>3</v>
      </c>
      <c r="O252">
        <v>2.9</v>
      </c>
      <c r="P252">
        <v>2</v>
      </c>
      <c r="Q252">
        <v>1000</v>
      </c>
      <c r="R252">
        <v>0.74511316000000005</v>
      </c>
      <c r="S252" t="s">
        <v>150</v>
      </c>
      <c r="T252">
        <v>13</v>
      </c>
      <c r="U252">
        <v>0</v>
      </c>
      <c r="V252">
        <v>13</v>
      </c>
      <c r="W252">
        <v>0</v>
      </c>
      <c r="X252" t="s">
        <v>149</v>
      </c>
      <c r="Y252" t="s">
        <v>157</v>
      </c>
    </row>
    <row r="253" spans="1:25">
      <c r="A253" t="s">
        <v>433</v>
      </c>
      <c r="B253" s="113">
        <v>43902</v>
      </c>
      <c r="C253" t="s">
        <v>162</v>
      </c>
      <c r="D253" t="s">
        <v>179</v>
      </c>
      <c r="E253">
        <v>52</v>
      </c>
      <c r="F253">
        <v>752</v>
      </c>
      <c r="G253" t="s">
        <v>155</v>
      </c>
      <c r="H253">
        <v>73445.991129999995</v>
      </c>
      <c r="I253">
        <v>73445.991129999995</v>
      </c>
      <c r="J253" t="s">
        <v>156</v>
      </c>
      <c r="K253" t="s">
        <v>156</v>
      </c>
      <c r="L253">
        <v>14.4</v>
      </c>
      <c r="M253" t="s">
        <v>149</v>
      </c>
      <c r="N253">
        <v>2</v>
      </c>
      <c r="O253">
        <v>0.2</v>
      </c>
      <c r="P253">
        <v>1</v>
      </c>
      <c r="Q253">
        <v>1800</v>
      </c>
      <c r="R253">
        <v>0.62934066499999997</v>
      </c>
      <c r="S253" t="s">
        <v>150</v>
      </c>
      <c r="T253">
        <v>18</v>
      </c>
      <c r="U253">
        <v>0</v>
      </c>
      <c r="V253">
        <v>18</v>
      </c>
      <c r="W253">
        <v>0</v>
      </c>
      <c r="X253" t="s">
        <v>151</v>
      </c>
      <c r="Y253" t="s">
        <v>152</v>
      </c>
    </row>
    <row r="254" spans="1:25">
      <c r="A254" t="s">
        <v>434</v>
      </c>
      <c r="B254" s="113">
        <v>43902</v>
      </c>
      <c r="C254" t="s">
        <v>162</v>
      </c>
      <c r="D254" t="s">
        <v>179</v>
      </c>
      <c r="E254">
        <v>40</v>
      </c>
      <c r="F254">
        <v>832</v>
      </c>
      <c r="G254" t="s">
        <v>169</v>
      </c>
      <c r="H254">
        <v>22277.01513</v>
      </c>
      <c r="I254">
        <v>22277.01513</v>
      </c>
      <c r="J254" t="s">
        <v>249</v>
      </c>
      <c r="K254" t="s">
        <v>166</v>
      </c>
      <c r="L254">
        <v>0.8</v>
      </c>
      <c r="M254" t="s">
        <v>149</v>
      </c>
      <c r="N254">
        <v>1</v>
      </c>
      <c r="O254">
        <v>6.4</v>
      </c>
      <c r="P254">
        <v>3</v>
      </c>
      <c r="Q254">
        <v>900</v>
      </c>
      <c r="R254">
        <v>0.49749138999999998</v>
      </c>
      <c r="S254" t="s">
        <v>150</v>
      </c>
      <c r="T254">
        <v>22</v>
      </c>
      <c r="U254">
        <v>0</v>
      </c>
      <c r="V254">
        <v>22</v>
      </c>
      <c r="W254">
        <v>0</v>
      </c>
      <c r="X254" t="s">
        <v>149</v>
      </c>
      <c r="Y254" t="s">
        <v>157</v>
      </c>
    </row>
    <row r="255" spans="1:25">
      <c r="A255" t="s">
        <v>435</v>
      </c>
      <c r="B255" s="113">
        <v>43904</v>
      </c>
      <c r="C255" t="s">
        <v>159</v>
      </c>
      <c r="D255" t="s">
        <v>168</v>
      </c>
      <c r="E255">
        <v>37</v>
      </c>
      <c r="F255">
        <v>726</v>
      </c>
      <c r="G255" t="s">
        <v>155</v>
      </c>
      <c r="H255">
        <v>73944.833660000004</v>
      </c>
      <c r="I255">
        <v>73944.833660000004</v>
      </c>
      <c r="J255" t="s">
        <v>148</v>
      </c>
      <c r="K255" t="s">
        <v>148</v>
      </c>
      <c r="L255">
        <v>0.4</v>
      </c>
      <c r="M255" t="s">
        <v>149</v>
      </c>
      <c r="N255">
        <v>2</v>
      </c>
      <c r="O255">
        <v>1.2</v>
      </c>
      <c r="P255">
        <v>2</v>
      </c>
      <c r="Q255">
        <v>800</v>
      </c>
      <c r="R255">
        <v>0.35293348200000002</v>
      </c>
      <c r="S255" t="s">
        <v>150</v>
      </c>
      <c r="T255">
        <v>16</v>
      </c>
      <c r="U255">
        <v>1</v>
      </c>
      <c r="V255">
        <v>16</v>
      </c>
      <c r="W255">
        <v>0</v>
      </c>
      <c r="X255" t="s">
        <v>149</v>
      </c>
      <c r="Y255" t="s">
        <v>157</v>
      </c>
    </row>
    <row r="256" spans="1:25">
      <c r="A256" t="s">
        <v>436</v>
      </c>
      <c r="B256" s="113">
        <v>43908</v>
      </c>
      <c r="C256" t="s">
        <v>162</v>
      </c>
      <c r="D256" t="s">
        <v>195</v>
      </c>
      <c r="E256">
        <v>49</v>
      </c>
      <c r="F256">
        <v>809</v>
      </c>
      <c r="G256" t="s">
        <v>147</v>
      </c>
      <c r="H256">
        <v>97968.406000000003</v>
      </c>
      <c r="I256">
        <v>97968.406000000003</v>
      </c>
      <c r="J256" t="s">
        <v>148</v>
      </c>
      <c r="K256" t="s">
        <v>148</v>
      </c>
      <c r="L256">
        <v>1.5</v>
      </c>
      <c r="M256" t="s">
        <v>149</v>
      </c>
      <c r="N256">
        <v>0</v>
      </c>
      <c r="O256">
        <v>3.7</v>
      </c>
      <c r="P256">
        <v>3</v>
      </c>
      <c r="Q256">
        <v>1000</v>
      </c>
      <c r="R256">
        <v>0.19935973500000001</v>
      </c>
      <c r="S256" t="s">
        <v>150</v>
      </c>
      <c r="T256">
        <v>18</v>
      </c>
      <c r="U256">
        <v>0</v>
      </c>
      <c r="V256">
        <v>18</v>
      </c>
      <c r="W256">
        <v>0</v>
      </c>
      <c r="X256" t="s">
        <v>149</v>
      </c>
      <c r="Y256" t="s">
        <v>157</v>
      </c>
    </row>
    <row r="257" spans="1:25">
      <c r="A257" t="s">
        <v>437</v>
      </c>
      <c r="B257" s="113">
        <v>43908</v>
      </c>
      <c r="C257" t="s">
        <v>162</v>
      </c>
      <c r="D257" t="s">
        <v>190</v>
      </c>
      <c r="E257">
        <v>45</v>
      </c>
      <c r="F257">
        <v>796</v>
      </c>
      <c r="G257" t="s">
        <v>147</v>
      </c>
      <c r="H257">
        <v>21364.675169999999</v>
      </c>
      <c r="I257">
        <v>21364.675169999999</v>
      </c>
      <c r="J257" t="s">
        <v>148</v>
      </c>
      <c r="K257" t="s">
        <v>166</v>
      </c>
      <c r="L257">
        <v>5.4</v>
      </c>
      <c r="M257" t="s">
        <v>149</v>
      </c>
      <c r="N257">
        <v>2</v>
      </c>
      <c r="O257">
        <v>1.4</v>
      </c>
      <c r="P257">
        <v>2</v>
      </c>
      <c r="Q257">
        <v>1300</v>
      </c>
      <c r="R257">
        <v>4.0693256999999997E-2</v>
      </c>
      <c r="S257" t="s">
        <v>150</v>
      </c>
      <c r="T257">
        <v>22</v>
      </c>
      <c r="U257">
        <v>0</v>
      </c>
      <c r="V257">
        <v>22</v>
      </c>
      <c r="W257">
        <v>0</v>
      </c>
      <c r="X257" t="s">
        <v>149</v>
      </c>
      <c r="Y257" t="s">
        <v>157</v>
      </c>
    </row>
    <row r="258" spans="1:25">
      <c r="A258" t="s">
        <v>438</v>
      </c>
      <c r="B258" s="113">
        <v>43908</v>
      </c>
      <c r="C258" t="s">
        <v>159</v>
      </c>
      <c r="D258" t="s">
        <v>160</v>
      </c>
      <c r="E258">
        <v>50</v>
      </c>
      <c r="F258">
        <v>699</v>
      </c>
      <c r="G258" t="s">
        <v>169</v>
      </c>
      <c r="H258">
        <v>47882.496729999999</v>
      </c>
      <c r="I258">
        <v>47882.496729999999</v>
      </c>
      <c r="J258" t="s">
        <v>156</v>
      </c>
      <c r="K258" t="s">
        <v>156</v>
      </c>
      <c r="L258">
        <v>2.2000000000000002</v>
      </c>
      <c r="M258" t="s">
        <v>149</v>
      </c>
      <c r="N258">
        <v>4</v>
      </c>
      <c r="O258">
        <v>16</v>
      </c>
      <c r="P258">
        <v>3</v>
      </c>
      <c r="Q258">
        <v>1250</v>
      </c>
      <c r="R258">
        <v>0.119012747</v>
      </c>
      <c r="S258" t="s">
        <v>150</v>
      </c>
      <c r="T258">
        <v>14</v>
      </c>
      <c r="U258">
        <v>0</v>
      </c>
      <c r="V258">
        <v>14</v>
      </c>
      <c r="W258">
        <v>0</v>
      </c>
      <c r="X258" t="s">
        <v>149</v>
      </c>
      <c r="Y258" t="s">
        <v>157</v>
      </c>
    </row>
    <row r="259" spans="1:25">
      <c r="A259" t="s">
        <v>439</v>
      </c>
      <c r="B259" s="113">
        <v>43909</v>
      </c>
      <c r="C259" t="s">
        <v>145</v>
      </c>
      <c r="D259" t="s">
        <v>213</v>
      </c>
      <c r="E259">
        <v>43</v>
      </c>
      <c r="F259">
        <v>512</v>
      </c>
      <c r="G259" t="s">
        <v>155</v>
      </c>
      <c r="H259">
        <v>26801.88092</v>
      </c>
      <c r="J259" t="s">
        <v>156</v>
      </c>
      <c r="K259" t="s">
        <v>156</v>
      </c>
      <c r="L259">
        <v>1.2</v>
      </c>
      <c r="M259" t="s">
        <v>149</v>
      </c>
      <c r="N259">
        <v>0</v>
      </c>
      <c r="O259">
        <v>4.0999999999999996</v>
      </c>
      <c r="P259">
        <v>3</v>
      </c>
      <c r="Q259">
        <v>1150</v>
      </c>
      <c r="R259">
        <v>0.27567851999999998</v>
      </c>
      <c r="S259" t="s">
        <v>150</v>
      </c>
      <c r="T259">
        <v>14</v>
      </c>
      <c r="U259">
        <v>0</v>
      </c>
      <c r="V259">
        <v>14</v>
      </c>
      <c r="W259">
        <v>0</v>
      </c>
      <c r="X259" t="s">
        <v>149</v>
      </c>
      <c r="Y259" t="s">
        <v>157</v>
      </c>
    </row>
    <row r="260" spans="1:25">
      <c r="A260" t="s">
        <v>440</v>
      </c>
      <c r="B260" s="113">
        <v>43909</v>
      </c>
      <c r="C260" t="s">
        <v>159</v>
      </c>
      <c r="D260" t="s">
        <v>168</v>
      </c>
      <c r="E260">
        <v>42</v>
      </c>
      <c r="F260">
        <v>660</v>
      </c>
      <c r="G260" t="s">
        <v>147</v>
      </c>
      <c r="H260">
        <v>26120.24727</v>
      </c>
      <c r="I260">
        <v>26120.24727</v>
      </c>
      <c r="J260" t="s">
        <v>221</v>
      </c>
      <c r="K260" t="s">
        <v>221</v>
      </c>
      <c r="L260">
        <v>9.9</v>
      </c>
      <c r="M260" t="s">
        <v>149</v>
      </c>
      <c r="N260">
        <v>2</v>
      </c>
      <c r="O260">
        <v>0.1</v>
      </c>
      <c r="P260">
        <v>3</v>
      </c>
      <c r="Q260">
        <v>1000</v>
      </c>
      <c r="R260">
        <v>0.425301965</v>
      </c>
      <c r="S260" t="s">
        <v>150</v>
      </c>
      <c r="T260">
        <v>17</v>
      </c>
      <c r="U260">
        <v>0</v>
      </c>
      <c r="V260">
        <v>17</v>
      </c>
      <c r="W260">
        <v>0</v>
      </c>
      <c r="X260" t="s">
        <v>151</v>
      </c>
      <c r="Y260" t="s">
        <v>152</v>
      </c>
    </row>
    <row r="261" spans="1:25">
      <c r="A261" t="s">
        <v>441</v>
      </c>
      <c r="B261" s="113">
        <v>43910</v>
      </c>
      <c r="C261" t="s">
        <v>162</v>
      </c>
      <c r="D261" t="s">
        <v>163</v>
      </c>
      <c r="E261">
        <v>50</v>
      </c>
      <c r="F261">
        <v>813</v>
      </c>
      <c r="G261" t="s">
        <v>176</v>
      </c>
      <c r="H261">
        <v>16616.441620000001</v>
      </c>
      <c r="J261" t="s">
        <v>148</v>
      </c>
      <c r="K261" t="s">
        <v>148</v>
      </c>
      <c r="L261">
        <v>3.6</v>
      </c>
      <c r="M261" t="s">
        <v>149</v>
      </c>
      <c r="N261">
        <v>2</v>
      </c>
      <c r="O261">
        <v>0.8</v>
      </c>
      <c r="P261">
        <v>2</v>
      </c>
      <c r="Q261">
        <v>1100</v>
      </c>
      <c r="R261">
        <v>0.56406088700000001</v>
      </c>
      <c r="S261" t="s">
        <v>150</v>
      </c>
      <c r="T261">
        <v>17</v>
      </c>
      <c r="U261">
        <v>0</v>
      </c>
      <c r="V261">
        <v>17</v>
      </c>
      <c r="W261">
        <v>0</v>
      </c>
      <c r="X261" t="s">
        <v>151</v>
      </c>
      <c r="Y261" t="s">
        <v>152</v>
      </c>
    </row>
    <row r="262" spans="1:25">
      <c r="A262" t="s">
        <v>442</v>
      </c>
      <c r="B262" s="113">
        <v>43912</v>
      </c>
      <c r="C262" t="s">
        <v>162</v>
      </c>
      <c r="D262" t="s">
        <v>163</v>
      </c>
      <c r="E262">
        <v>47</v>
      </c>
      <c r="F262">
        <v>750</v>
      </c>
      <c r="G262" t="s">
        <v>147</v>
      </c>
      <c r="H262">
        <v>50613.176489999998</v>
      </c>
      <c r="J262" t="s">
        <v>148</v>
      </c>
      <c r="K262" t="s">
        <v>148</v>
      </c>
      <c r="L262">
        <v>3.6</v>
      </c>
      <c r="M262" t="s">
        <v>149</v>
      </c>
      <c r="N262">
        <v>2</v>
      </c>
      <c r="O262">
        <v>3.2</v>
      </c>
      <c r="P262">
        <v>3</v>
      </c>
      <c r="Q262">
        <v>1200</v>
      </c>
      <c r="R262">
        <v>0.68841063000000002</v>
      </c>
      <c r="S262" t="s">
        <v>150</v>
      </c>
      <c r="T262">
        <v>22</v>
      </c>
      <c r="U262">
        <v>0</v>
      </c>
      <c r="V262">
        <v>22</v>
      </c>
      <c r="W262">
        <v>0</v>
      </c>
      <c r="X262" t="s">
        <v>149</v>
      </c>
      <c r="Y262" t="s">
        <v>157</v>
      </c>
    </row>
    <row r="263" spans="1:25">
      <c r="A263" t="s">
        <v>443</v>
      </c>
      <c r="B263" s="113">
        <v>43913</v>
      </c>
      <c r="C263" t="s">
        <v>159</v>
      </c>
      <c r="D263" t="s">
        <v>165</v>
      </c>
      <c r="E263">
        <v>30</v>
      </c>
      <c r="F263">
        <v>628</v>
      </c>
      <c r="G263" t="s">
        <v>169</v>
      </c>
      <c r="H263">
        <v>76052.447690000001</v>
      </c>
      <c r="I263">
        <v>76052.447690000001</v>
      </c>
      <c r="J263" t="s">
        <v>148</v>
      </c>
      <c r="K263" t="s">
        <v>148</v>
      </c>
      <c r="L263">
        <v>2.7</v>
      </c>
      <c r="M263" t="s">
        <v>149</v>
      </c>
      <c r="N263">
        <v>1</v>
      </c>
      <c r="O263">
        <v>3</v>
      </c>
      <c r="P263">
        <v>1</v>
      </c>
      <c r="Q263">
        <v>1450</v>
      </c>
      <c r="R263">
        <v>0.79517462400000005</v>
      </c>
      <c r="S263" t="s">
        <v>150</v>
      </c>
      <c r="T263">
        <v>12</v>
      </c>
      <c r="U263">
        <v>0</v>
      </c>
      <c r="V263">
        <v>12</v>
      </c>
      <c r="W263">
        <v>0</v>
      </c>
      <c r="X263" t="s">
        <v>149</v>
      </c>
      <c r="Y263" t="s">
        <v>157</v>
      </c>
    </row>
    <row r="264" spans="1:25">
      <c r="A264" t="s">
        <v>444</v>
      </c>
      <c r="B264" s="113">
        <v>43915</v>
      </c>
      <c r="C264" t="s">
        <v>159</v>
      </c>
      <c r="D264" t="s">
        <v>209</v>
      </c>
      <c r="E264">
        <v>22</v>
      </c>
      <c r="F264">
        <v>812</v>
      </c>
      <c r="G264" t="s">
        <v>176</v>
      </c>
      <c r="H264">
        <v>56586.58541</v>
      </c>
      <c r="I264">
        <v>56586.58541</v>
      </c>
      <c r="J264" t="s">
        <v>148</v>
      </c>
      <c r="K264" t="s">
        <v>148</v>
      </c>
      <c r="L264">
        <v>8.8000000000000007</v>
      </c>
      <c r="M264" t="s">
        <v>149</v>
      </c>
      <c r="N264">
        <v>1</v>
      </c>
      <c r="O264">
        <v>0.6</v>
      </c>
      <c r="P264">
        <v>1</v>
      </c>
      <c r="Q264">
        <v>1200</v>
      </c>
      <c r="R264">
        <v>0.88162553899999996</v>
      </c>
      <c r="S264" t="s">
        <v>150</v>
      </c>
      <c r="T264">
        <v>23</v>
      </c>
      <c r="U264">
        <v>0</v>
      </c>
      <c r="V264">
        <v>23</v>
      </c>
      <c r="W264">
        <v>0</v>
      </c>
      <c r="X264" t="s">
        <v>149</v>
      </c>
      <c r="Y264" t="s">
        <v>157</v>
      </c>
    </row>
    <row r="265" spans="1:25">
      <c r="A265" t="s">
        <v>445</v>
      </c>
      <c r="B265" s="113">
        <v>43916</v>
      </c>
      <c r="C265" t="s">
        <v>145</v>
      </c>
      <c r="D265" t="s">
        <v>172</v>
      </c>
      <c r="E265">
        <v>64</v>
      </c>
      <c r="F265">
        <v>667</v>
      </c>
      <c r="G265" t="s">
        <v>176</v>
      </c>
      <c r="H265">
        <v>27738.477989999999</v>
      </c>
      <c r="I265">
        <v>27738.477989999999</v>
      </c>
      <c r="J265" t="s">
        <v>148</v>
      </c>
      <c r="K265" t="s">
        <v>148</v>
      </c>
      <c r="L265">
        <v>3.2</v>
      </c>
      <c r="M265" t="s">
        <v>149</v>
      </c>
      <c r="N265">
        <v>1</v>
      </c>
      <c r="O265">
        <v>0.9</v>
      </c>
      <c r="P265">
        <v>3</v>
      </c>
      <c r="Q265">
        <v>1550</v>
      </c>
      <c r="R265">
        <v>0.94555494699999998</v>
      </c>
      <c r="S265" t="s">
        <v>198</v>
      </c>
      <c r="Y265" t="s">
        <v>199</v>
      </c>
    </row>
    <row r="266" spans="1:25">
      <c r="A266" t="s">
        <v>446</v>
      </c>
      <c r="B266" s="113">
        <v>43920</v>
      </c>
      <c r="C266" t="s">
        <v>162</v>
      </c>
      <c r="D266" t="s">
        <v>193</v>
      </c>
      <c r="E266">
        <v>66</v>
      </c>
      <c r="F266">
        <v>748</v>
      </c>
      <c r="G266" t="s">
        <v>155</v>
      </c>
      <c r="H266">
        <v>71696.108970000001</v>
      </c>
      <c r="I266">
        <v>71696.108970000001</v>
      </c>
      <c r="J266" t="s">
        <v>249</v>
      </c>
      <c r="K266" t="s">
        <v>249</v>
      </c>
      <c r="L266">
        <v>0.3</v>
      </c>
      <c r="M266" t="s">
        <v>149</v>
      </c>
      <c r="N266">
        <v>4</v>
      </c>
      <c r="O266">
        <v>7.6</v>
      </c>
      <c r="P266">
        <v>3</v>
      </c>
      <c r="Q266">
        <v>1000</v>
      </c>
      <c r="R266">
        <v>0.98532974399999995</v>
      </c>
      <c r="S266" t="s">
        <v>150</v>
      </c>
      <c r="T266">
        <v>17</v>
      </c>
      <c r="U266">
        <v>0</v>
      </c>
      <c r="V266">
        <v>17</v>
      </c>
      <c r="W266">
        <v>0</v>
      </c>
      <c r="X266" t="s">
        <v>149</v>
      </c>
      <c r="Y266" t="s">
        <v>157</v>
      </c>
    </row>
    <row r="267" spans="1:25">
      <c r="A267" t="s">
        <v>447</v>
      </c>
      <c r="B267" s="113">
        <v>43922</v>
      </c>
      <c r="C267" t="s">
        <v>162</v>
      </c>
      <c r="D267" t="s">
        <v>190</v>
      </c>
      <c r="E267">
        <v>49</v>
      </c>
      <c r="F267">
        <v>657</v>
      </c>
      <c r="G267" t="s">
        <v>176</v>
      </c>
      <c r="H267">
        <v>23013.336380000001</v>
      </c>
      <c r="I267">
        <v>23013.336380000001</v>
      </c>
      <c r="J267" t="s">
        <v>148</v>
      </c>
      <c r="K267" t="s">
        <v>148</v>
      </c>
      <c r="L267">
        <v>2.8</v>
      </c>
      <c r="M267" t="s">
        <v>149</v>
      </c>
      <c r="N267">
        <v>1</v>
      </c>
      <c r="O267">
        <v>3.5</v>
      </c>
      <c r="P267">
        <v>4</v>
      </c>
      <c r="Q267">
        <v>1400</v>
      </c>
      <c r="R267">
        <v>0.999933866</v>
      </c>
      <c r="S267" t="s">
        <v>150</v>
      </c>
      <c r="T267">
        <v>8</v>
      </c>
      <c r="U267">
        <v>0</v>
      </c>
      <c r="V267">
        <v>8</v>
      </c>
      <c r="W267">
        <v>0</v>
      </c>
      <c r="X267" t="s">
        <v>151</v>
      </c>
      <c r="Y267" t="s">
        <v>152</v>
      </c>
    </row>
    <row r="268" spans="1:25">
      <c r="A268" t="s">
        <v>448</v>
      </c>
      <c r="B268" s="113">
        <v>43922</v>
      </c>
      <c r="C268" t="s">
        <v>162</v>
      </c>
      <c r="D268" t="s">
        <v>163</v>
      </c>
      <c r="E268">
        <v>32</v>
      </c>
      <c r="F268">
        <v>507</v>
      </c>
      <c r="G268" t="s">
        <v>155</v>
      </c>
      <c r="H268">
        <v>232121.6421</v>
      </c>
      <c r="J268" t="s">
        <v>148</v>
      </c>
      <c r="K268" t="s">
        <v>148</v>
      </c>
      <c r="L268">
        <v>3.3</v>
      </c>
      <c r="M268" t="s">
        <v>149</v>
      </c>
      <c r="N268">
        <v>1</v>
      </c>
      <c r="O268">
        <v>1</v>
      </c>
      <c r="P268">
        <v>4</v>
      </c>
      <c r="Q268">
        <v>1000</v>
      </c>
      <c r="R268">
        <v>0.98899424499999999</v>
      </c>
      <c r="S268" t="s">
        <v>150</v>
      </c>
      <c r="T268">
        <v>16</v>
      </c>
      <c r="U268">
        <v>0</v>
      </c>
      <c r="V268">
        <v>16</v>
      </c>
      <c r="W268">
        <v>0</v>
      </c>
      <c r="X268" t="s">
        <v>149</v>
      </c>
      <c r="Y268" t="s">
        <v>157</v>
      </c>
    </row>
    <row r="269" spans="1:25">
      <c r="A269" t="s">
        <v>449</v>
      </c>
      <c r="B269" s="113">
        <v>43924</v>
      </c>
      <c r="C269" t="s">
        <v>162</v>
      </c>
      <c r="D269" t="s">
        <v>195</v>
      </c>
      <c r="E269">
        <v>56</v>
      </c>
      <c r="F269">
        <v>796</v>
      </c>
      <c r="G269" t="s">
        <v>176</v>
      </c>
      <c r="H269">
        <v>82106.528160000002</v>
      </c>
      <c r="I269">
        <v>82106.528160000002</v>
      </c>
      <c r="J269" t="s">
        <v>148</v>
      </c>
      <c r="K269" t="s">
        <v>148</v>
      </c>
      <c r="L269">
        <v>5.5</v>
      </c>
      <c r="M269" t="s">
        <v>149</v>
      </c>
      <c r="N269">
        <v>0</v>
      </c>
      <c r="O269">
        <v>10.6</v>
      </c>
      <c r="P269">
        <v>3</v>
      </c>
      <c r="Q269">
        <v>800</v>
      </c>
      <c r="R269">
        <v>0.95279033599999996</v>
      </c>
      <c r="S269" t="s">
        <v>150</v>
      </c>
      <c r="T269">
        <v>23</v>
      </c>
      <c r="U269">
        <v>0</v>
      </c>
      <c r="V269">
        <v>23</v>
      </c>
      <c r="W269">
        <v>0</v>
      </c>
      <c r="X269" t="s">
        <v>149</v>
      </c>
      <c r="Y269" t="s">
        <v>157</v>
      </c>
    </row>
    <row r="270" spans="1:25">
      <c r="A270" t="s">
        <v>450</v>
      </c>
      <c r="B270" s="113">
        <v>43924</v>
      </c>
      <c r="C270" t="s">
        <v>162</v>
      </c>
      <c r="D270" t="s">
        <v>193</v>
      </c>
      <c r="E270">
        <v>41</v>
      </c>
      <c r="F270">
        <v>504</v>
      </c>
      <c r="G270" t="s">
        <v>176</v>
      </c>
      <c r="H270">
        <v>23251.128830000001</v>
      </c>
      <c r="I270">
        <v>23251.128830000001</v>
      </c>
      <c r="J270" t="s">
        <v>148</v>
      </c>
      <c r="K270" t="s">
        <v>148</v>
      </c>
      <c r="L270">
        <v>2.8</v>
      </c>
      <c r="M270" t="s">
        <v>149</v>
      </c>
      <c r="N270">
        <v>3</v>
      </c>
      <c r="O270">
        <v>1.9</v>
      </c>
      <c r="P270">
        <v>1</v>
      </c>
      <c r="Q270">
        <v>1350</v>
      </c>
      <c r="R270">
        <v>0.89224698599999996</v>
      </c>
      <c r="S270" t="s">
        <v>150</v>
      </c>
      <c r="T270">
        <v>20</v>
      </c>
      <c r="U270">
        <v>1</v>
      </c>
      <c r="V270">
        <v>20</v>
      </c>
      <c r="W270">
        <v>0</v>
      </c>
      <c r="X270" t="s">
        <v>151</v>
      </c>
      <c r="Y270" t="s">
        <v>152</v>
      </c>
    </row>
    <row r="271" spans="1:25">
      <c r="A271" t="s">
        <v>451</v>
      </c>
      <c r="B271" s="113">
        <v>43930</v>
      </c>
      <c r="C271" t="s">
        <v>159</v>
      </c>
      <c r="D271" t="s">
        <v>165</v>
      </c>
      <c r="E271">
        <v>55</v>
      </c>
      <c r="F271">
        <v>819</v>
      </c>
      <c r="G271" t="s">
        <v>169</v>
      </c>
      <c r="H271">
        <v>42533.289790000003</v>
      </c>
      <c r="J271" t="s">
        <v>148</v>
      </c>
      <c r="K271" t="s">
        <v>148</v>
      </c>
      <c r="L271">
        <v>1</v>
      </c>
      <c r="M271" t="s">
        <v>149</v>
      </c>
      <c r="N271">
        <v>1</v>
      </c>
      <c r="O271">
        <v>14.6</v>
      </c>
      <c r="P271">
        <v>4</v>
      </c>
      <c r="Q271">
        <v>950</v>
      </c>
      <c r="R271">
        <v>0.80891080000000004</v>
      </c>
      <c r="S271" t="s">
        <v>150</v>
      </c>
      <c r="T271">
        <v>19</v>
      </c>
      <c r="U271">
        <v>0</v>
      </c>
      <c r="V271">
        <v>19</v>
      </c>
      <c r="W271">
        <v>0</v>
      </c>
      <c r="X271" t="s">
        <v>149</v>
      </c>
      <c r="Y271" t="s">
        <v>157</v>
      </c>
    </row>
    <row r="272" spans="1:25">
      <c r="A272" t="s">
        <v>452</v>
      </c>
      <c r="B272" s="113">
        <v>43931</v>
      </c>
      <c r="C272" t="s">
        <v>162</v>
      </c>
      <c r="D272" t="s">
        <v>195</v>
      </c>
      <c r="E272">
        <v>56</v>
      </c>
      <c r="F272">
        <v>678</v>
      </c>
      <c r="G272" t="s">
        <v>169</v>
      </c>
      <c r="H272">
        <v>55671.789850000001</v>
      </c>
      <c r="I272">
        <v>55671.789850000001</v>
      </c>
      <c r="J272" t="s">
        <v>148</v>
      </c>
      <c r="K272" t="s">
        <v>148</v>
      </c>
      <c r="L272">
        <v>0.9</v>
      </c>
      <c r="M272" t="s">
        <v>149</v>
      </c>
      <c r="N272">
        <v>3</v>
      </c>
      <c r="O272">
        <v>1.9</v>
      </c>
      <c r="P272">
        <v>3</v>
      </c>
      <c r="Q272">
        <v>850</v>
      </c>
      <c r="R272">
        <v>0.70491063700000001</v>
      </c>
      <c r="S272" t="s">
        <v>150</v>
      </c>
      <c r="T272">
        <v>17</v>
      </c>
      <c r="U272">
        <v>1</v>
      </c>
      <c r="V272">
        <v>17</v>
      </c>
      <c r="W272">
        <v>0</v>
      </c>
      <c r="X272" t="s">
        <v>149</v>
      </c>
      <c r="Y272" t="s">
        <v>157</v>
      </c>
    </row>
    <row r="273" spans="1:25">
      <c r="A273" t="s">
        <v>453</v>
      </c>
      <c r="B273" s="113">
        <v>43932</v>
      </c>
      <c r="C273" t="s">
        <v>162</v>
      </c>
      <c r="D273" t="s">
        <v>163</v>
      </c>
      <c r="E273">
        <v>38</v>
      </c>
      <c r="F273">
        <v>638</v>
      </c>
      <c r="G273" t="s">
        <v>155</v>
      </c>
      <c r="H273">
        <v>30723.589380000001</v>
      </c>
      <c r="I273">
        <v>30723.589380000001</v>
      </c>
      <c r="J273" t="s">
        <v>148</v>
      </c>
      <c r="K273" t="s">
        <v>148</v>
      </c>
      <c r="L273">
        <v>1.8</v>
      </c>
      <c r="M273" t="s">
        <v>149</v>
      </c>
      <c r="N273">
        <v>2</v>
      </c>
      <c r="O273">
        <v>23.5</v>
      </c>
      <c r="P273">
        <v>1</v>
      </c>
      <c r="Q273">
        <v>1650</v>
      </c>
      <c r="R273">
        <v>0.58290322699999997</v>
      </c>
      <c r="S273" t="s">
        <v>198</v>
      </c>
      <c r="Y273" t="s">
        <v>199</v>
      </c>
    </row>
    <row r="274" spans="1:25">
      <c r="A274" t="s">
        <v>454</v>
      </c>
      <c r="B274" s="113">
        <v>43933</v>
      </c>
      <c r="C274" t="s">
        <v>162</v>
      </c>
      <c r="D274" t="s">
        <v>179</v>
      </c>
      <c r="E274">
        <v>37</v>
      </c>
      <c r="F274">
        <v>638</v>
      </c>
      <c r="G274" t="s">
        <v>147</v>
      </c>
      <c r="H274">
        <v>87901.293560000006</v>
      </c>
      <c r="J274" t="s">
        <v>148</v>
      </c>
      <c r="K274" t="s">
        <v>148</v>
      </c>
      <c r="L274">
        <v>2.8</v>
      </c>
      <c r="M274" t="s">
        <v>149</v>
      </c>
      <c r="N274">
        <v>4</v>
      </c>
      <c r="O274">
        <v>5.6</v>
      </c>
      <c r="P274">
        <v>2</v>
      </c>
      <c r="Q274">
        <v>1600</v>
      </c>
      <c r="R274">
        <v>0.44600530100000002</v>
      </c>
      <c r="S274" t="s">
        <v>150</v>
      </c>
      <c r="T274">
        <v>20</v>
      </c>
      <c r="U274">
        <v>1</v>
      </c>
      <c r="V274">
        <v>20</v>
      </c>
      <c r="W274">
        <v>0</v>
      </c>
      <c r="X274" t="s">
        <v>149</v>
      </c>
      <c r="Y274" t="s">
        <v>157</v>
      </c>
    </row>
    <row r="275" spans="1:25">
      <c r="A275" t="s">
        <v>455</v>
      </c>
      <c r="B275" s="113">
        <v>43934</v>
      </c>
      <c r="C275" t="s">
        <v>159</v>
      </c>
      <c r="D275" t="s">
        <v>160</v>
      </c>
      <c r="E275">
        <v>44</v>
      </c>
      <c r="F275">
        <v>799</v>
      </c>
      <c r="G275" t="s">
        <v>147</v>
      </c>
      <c r="H275">
        <v>18382.07242</v>
      </c>
      <c r="I275">
        <v>18382.07242</v>
      </c>
      <c r="J275" t="s">
        <v>148</v>
      </c>
      <c r="K275" t="s">
        <v>148</v>
      </c>
      <c r="L275">
        <v>3.1</v>
      </c>
      <c r="M275" t="s">
        <v>149</v>
      </c>
      <c r="N275">
        <v>7</v>
      </c>
      <c r="O275">
        <v>3.1</v>
      </c>
      <c r="P275">
        <v>3</v>
      </c>
      <c r="Q275">
        <v>1250</v>
      </c>
      <c r="R275">
        <v>0.29771397599999999</v>
      </c>
      <c r="S275" t="s">
        <v>150</v>
      </c>
      <c r="T275">
        <v>21</v>
      </c>
      <c r="U275">
        <v>1</v>
      </c>
      <c r="V275">
        <v>21</v>
      </c>
      <c r="W275">
        <v>0</v>
      </c>
      <c r="X275" t="s">
        <v>149</v>
      </c>
      <c r="Y275" t="s">
        <v>157</v>
      </c>
    </row>
    <row r="276" spans="1:25">
      <c r="A276" t="s">
        <v>456</v>
      </c>
      <c r="B276" s="113">
        <v>43934</v>
      </c>
      <c r="C276" t="s">
        <v>159</v>
      </c>
      <c r="D276" t="s">
        <v>168</v>
      </c>
      <c r="E276">
        <v>44</v>
      </c>
      <c r="F276">
        <v>273</v>
      </c>
      <c r="G276" t="s">
        <v>147</v>
      </c>
      <c r="H276">
        <v>41034.186240000003</v>
      </c>
      <c r="I276">
        <v>41034.186240000003</v>
      </c>
      <c r="J276" t="s">
        <v>148</v>
      </c>
      <c r="K276" t="s">
        <v>148</v>
      </c>
      <c r="L276">
        <v>13.5</v>
      </c>
      <c r="M276" t="s">
        <v>149</v>
      </c>
      <c r="N276">
        <v>2</v>
      </c>
      <c r="O276">
        <v>7.9</v>
      </c>
      <c r="P276">
        <v>3</v>
      </c>
      <c r="Q276">
        <v>1050</v>
      </c>
      <c r="R276">
        <v>0.141817419</v>
      </c>
      <c r="S276" t="s">
        <v>198</v>
      </c>
      <c r="Y276" t="s">
        <v>199</v>
      </c>
    </row>
    <row r="277" spans="1:25">
      <c r="A277" t="s">
        <v>457</v>
      </c>
      <c r="B277" s="113">
        <v>43935</v>
      </c>
      <c r="C277" t="s">
        <v>159</v>
      </c>
      <c r="D277" t="s">
        <v>160</v>
      </c>
      <c r="E277">
        <v>26</v>
      </c>
      <c r="F277">
        <v>736</v>
      </c>
      <c r="G277" t="s">
        <v>155</v>
      </c>
      <c r="H277">
        <v>156721.9124</v>
      </c>
      <c r="I277">
        <v>156721.9124</v>
      </c>
      <c r="J277" t="s">
        <v>156</v>
      </c>
      <c r="K277" t="s">
        <v>156</v>
      </c>
      <c r="L277">
        <v>1.1000000000000001</v>
      </c>
      <c r="M277" t="s">
        <v>149</v>
      </c>
      <c r="N277">
        <v>2</v>
      </c>
      <c r="O277">
        <v>4.7</v>
      </c>
      <c r="P277">
        <v>3</v>
      </c>
      <c r="Q277">
        <v>1750</v>
      </c>
      <c r="R277">
        <v>1.7701925E-2</v>
      </c>
      <c r="S277" t="s">
        <v>150</v>
      </c>
      <c r="T277">
        <v>15</v>
      </c>
      <c r="U277">
        <v>0</v>
      </c>
      <c r="V277">
        <v>15</v>
      </c>
      <c r="W277">
        <v>0</v>
      </c>
      <c r="X277" t="s">
        <v>149</v>
      </c>
      <c r="Y277" t="s">
        <v>157</v>
      </c>
    </row>
    <row r="278" spans="1:25">
      <c r="A278" t="s">
        <v>458</v>
      </c>
      <c r="B278" s="113">
        <v>43935</v>
      </c>
      <c r="C278" t="s">
        <v>162</v>
      </c>
      <c r="D278" t="s">
        <v>193</v>
      </c>
      <c r="E278">
        <v>44</v>
      </c>
      <c r="F278">
        <v>636</v>
      </c>
      <c r="G278" t="s">
        <v>147</v>
      </c>
      <c r="H278">
        <v>27197.602429999999</v>
      </c>
      <c r="J278" t="s">
        <v>148</v>
      </c>
      <c r="K278" t="s">
        <v>148</v>
      </c>
      <c r="L278">
        <v>11.4</v>
      </c>
      <c r="M278" t="s">
        <v>151</v>
      </c>
      <c r="N278">
        <v>2</v>
      </c>
      <c r="O278">
        <v>11.3</v>
      </c>
      <c r="P278">
        <v>4</v>
      </c>
      <c r="Q278">
        <v>950</v>
      </c>
      <c r="R278">
        <v>0.176769066</v>
      </c>
      <c r="S278" t="s">
        <v>150</v>
      </c>
      <c r="T278">
        <v>10</v>
      </c>
      <c r="U278">
        <v>0</v>
      </c>
      <c r="V278">
        <v>10</v>
      </c>
      <c r="W278">
        <v>0</v>
      </c>
      <c r="X278" t="s">
        <v>151</v>
      </c>
      <c r="Y278" t="s">
        <v>152</v>
      </c>
    </row>
    <row r="279" spans="1:25">
      <c r="A279" t="s">
        <v>459</v>
      </c>
      <c r="B279" s="113">
        <v>43936</v>
      </c>
      <c r="C279" t="s">
        <v>159</v>
      </c>
      <c r="D279" t="s">
        <v>165</v>
      </c>
      <c r="E279">
        <v>36</v>
      </c>
      <c r="F279">
        <v>534</v>
      </c>
      <c r="G279" t="s">
        <v>169</v>
      </c>
      <c r="H279">
        <v>84444.918810000003</v>
      </c>
      <c r="I279">
        <v>84444.918810000003</v>
      </c>
      <c r="J279" t="s">
        <v>148</v>
      </c>
      <c r="K279" t="s">
        <v>148</v>
      </c>
      <c r="L279">
        <v>1.8</v>
      </c>
      <c r="M279" t="s">
        <v>149</v>
      </c>
      <c r="N279">
        <v>3</v>
      </c>
      <c r="O279">
        <v>5.4</v>
      </c>
      <c r="P279">
        <v>3</v>
      </c>
      <c r="Q279">
        <v>1700</v>
      </c>
      <c r="R279">
        <v>0.33132056500000001</v>
      </c>
      <c r="S279" t="s">
        <v>150</v>
      </c>
      <c r="T279">
        <v>23</v>
      </c>
      <c r="U279">
        <v>2</v>
      </c>
      <c r="V279">
        <v>23</v>
      </c>
      <c r="W279">
        <v>0</v>
      </c>
      <c r="X279" t="s">
        <v>149</v>
      </c>
      <c r="Y279" t="s">
        <v>157</v>
      </c>
    </row>
    <row r="280" spans="1:25">
      <c r="A280" t="s">
        <v>460</v>
      </c>
      <c r="B280" s="113">
        <v>43936</v>
      </c>
      <c r="C280" t="s">
        <v>145</v>
      </c>
      <c r="D280" t="s">
        <v>280</v>
      </c>
      <c r="E280">
        <v>33</v>
      </c>
      <c r="F280">
        <v>742</v>
      </c>
      <c r="G280" t="s">
        <v>169</v>
      </c>
      <c r="H280">
        <v>50605.951679999998</v>
      </c>
      <c r="I280">
        <v>50605.951679999998</v>
      </c>
      <c r="J280" t="s">
        <v>148</v>
      </c>
      <c r="K280" t="s">
        <v>148</v>
      </c>
      <c r="L280">
        <v>3.3</v>
      </c>
      <c r="M280" t="s">
        <v>149</v>
      </c>
      <c r="N280">
        <v>3</v>
      </c>
      <c r="O280">
        <v>2</v>
      </c>
      <c r="P280">
        <v>3</v>
      </c>
      <c r="Q280">
        <v>950</v>
      </c>
      <c r="R280">
        <v>0.47740833599999999</v>
      </c>
      <c r="S280" t="s">
        <v>150</v>
      </c>
      <c r="T280">
        <v>14</v>
      </c>
      <c r="U280">
        <v>1</v>
      </c>
      <c r="V280">
        <v>14</v>
      </c>
      <c r="W280">
        <v>0</v>
      </c>
      <c r="X280" t="s">
        <v>149</v>
      </c>
      <c r="Y280" t="s">
        <v>157</v>
      </c>
    </row>
    <row r="281" spans="1:25">
      <c r="A281" t="s">
        <v>461</v>
      </c>
      <c r="B281" s="113">
        <v>43937</v>
      </c>
      <c r="C281" t="s">
        <v>162</v>
      </c>
      <c r="D281" t="s">
        <v>179</v>
      </c>
      <c r="E281">
        <v>37</v>
      </c>
      <c r="F281">
        <v>687</v>
      </c>
      <c r="G281" t="s">
        <v>169</v>
      </c>
      <c r="H281">
        <v>236152.5275</v>
      </c>
      <c r="I281">
        <v>236152.5275</v>
      </c>
      <c r="J281" t="s">
        <v>148</v>
      </c>
      <c r="K281" t="s">
        <v>148</v>
      </c>
      <c r="L281">
        <v>2.5</v>
      </c>
      <c r="M281" t="s">
        <v>149</v>
      </c>
      <c r="N281">
        <v>4</v>
      </c>
      <c r="O281">
        <v>0.2</v>
      </c>
      <c r="P281">
        <v>3</v>
      </c>
      <c r="Q281">
        <v>1400</v>
      </c>
      <c r="R281">
        <v>0.61130050499999999</v>
      </c>
      <c r="S281" t="s">
        <v>150</v>
      </c>
      <c r="T281">
        <v>20</v>
      </c>
      <c r="U281">
        <v>0</v>
      </c>
      <c r="V281">
        <v>20</v>
      </c>
      <c r="W281">
        <v>0</v>
      </c>
      <c r="X281" t="s">
        <v>149</v>
      </c>
      <c r="Y281" t="s">
        <v>157</v>
      </c>
    </row>
    <row r="282" spans="1:25">
      <c r="A282" t="s">
        <v>462</v>
      </c>
      <c r="B282" s="113">
        <v>43937</v>
      </c>
      <c r="C282" t="s">
        <v>145</v>
      </c>
      <c r="D282" t="s">
        <v>213</v>
      </c>
      <c r="E282">
        <v>46</v>
      </c>
      <c r="F282">
        <v>703</v>
      </c>
      <c r="G282" t="s">
        <v>155</v>
      </c>
      <c r="H282">
        <v>5560637</v>
      </c>
      <c r="I282">
        <v>5560637</v>
      </c>
      <c r="J282" t="s">
        <v>181</v>
      </c>
      <c r="K282" t="s">
        <v>181</v>
      </c>
      <c r="L282">
        <v>4.7</v>
      </c>
      <c r="M282" t="s">
        <v>151</v>
      </c>
      <c r="N282">
        <v>2</v>
      </c>
      <c r="O282">
        <v>4.4000000000000004</v>
      </c>
      <c r="P282">
        <v>3</v>
      </c>
      <c r="Q282">
        <v>0</v>
      </c>
      <c r="R282">
        <v>0.72957673700000003</v>
      </c>
      <c r="S282" t="s">
        <v>198</v>
      </c>
      <c r="T282">
        <v>0</v>
      </c>
      <c r="U282">
        <v>0</v>
      </c>
      <c r="V282">
        <v>0</v>
      </c>
      <c r="W282">
        <v>0</v>
      </c>
      <c r="Y282" t="s">
        <v>199</v>
      </c>
    </row>
    <row r="283" spans="1:25">
      <c r="A283" t="s">
        <v>463</v>
      </c>
      <c r="B283" s="113">
        <v>43938</v>
      </c>
      <c r="C283" t="s">
        <v>159</v>
      </c>
      <c r="D283" t="s">
        <v>160</v>
      </c>
      <c r="E283">
        <v>47</v>
      </c>
      <c r="F283">
        <v>827</v>
      </c>
      <c r="G283" t="s">
        <v>155</v>
      </c>
      <c r="H283">
        <v>60092.944949999997</v>
      </c>
      <c r="I283">
        <v>3951216</v>
      </c>
      <c r="J283" t="s">
        <v>221</v>
      </c>
      <c r="K283" t="s">
        <v>221</v>
      </c>
      <c r="L283">
        <v>3.7</v>
      </c>
      <c r="M283" t="s">
        <v>149</v>
      </c>
      <c r="N283">
        <v>6</v>
      </c>
      <c r="O283">
        <v>5.4</v>
      </c>
      <c r="P283">
        <v>2</v>
      </c>
      <c r="Q283">
        <v>1600</v>
      </c>
      <c r="R283">
        <v>0.82921561600000004</v>
      </c>
      <c r="S283" t="s">
        <v>150</v>
      </c>
      <c r="T283">
        <v>23</v>
      </c>
      <c r="U283">
        <v>0</v>
      </c>
      <c r="V283">
        <v>23</v>
      </c>
      <c r="W283">
        <v>0</v>
      </c>
      <c r="X283" t="s">
        <v>149</v>
      </c>
      <c r="Y283" t="s">
        <v>157</v>
      </c>
    </row>
    <row r="284" spans="1:25">
      <c r="A284" t="s">
        <v>464</v>
      </c>
      <c r="B284" s="113">
        <v>43938</v>
      </c>
      <c r="C284" t="s">
        <v>162</v>
      </c>
      <c r="D284" t="s">
        <v>195</v>
      </c>
      <c r="E284">
        <v>30</v>
      </c>
      <c r="F284">
        <v>828</v>
      </c>
      <c r="G284" t="s">
        <v>176</v>
      </c>
      <c r="H284">
        <v>57798.317649999997</v>
      </c>
      <c r="I284">
        <v>6357220</v>
      </c>
      <c r="J284" t="s">
        <v>148</v>
      </c>
      <c r="K284" t="s">
        <v>148</v>
      </c>
      <c r="L284">
        <v>0.5</v>
      </c>
      <c r="M284" t="s">
        <v>149</v>
      </c>
      <c r="N284">
        <v>2</v>
      </c>
      <c r="O284">
        <v>23.9</v>
      </c>
      <c r="P284">
        <v>4</v>
      </c>
      <c r="Q284">
        <v>1400</v>
      </c>
      <c r="R284">
        <v>0.90767182199999996</v>
      </c>
      <c r="S284" t="s">
        <v>150</v>
      </c>
      <c r="T284">
        <v>23</v>
      </c>
      <c r="U284">
        <v>0</v>
      </c>
      <c r="V284">
        <v>23</v>
      </c>
      <c r="W284">
        <v>0</v>
      </c>
      <c r="X284" t="s">
        <v>149</v>
      </c>
      <c r="Y284" t="s">
        <v>157</v>
      </c>
    </row>
    <row r="285" spans="1:25">
      <c r="A285" t="s">
        <v>465</v>
      </c>
      <c r="B285" s="113">
        <v>43939</v>
      </c>
      <c r="C285" t="s">
        <v>162</v>
      </c>
      <c r="D285" t="s">
        <v>190</v>
      </c>
      <c r="E285">
        <v>28</v>
      </c>
      <c r="F285">
        <v>725</v>
      </c>
      <c r="G285" t="s">
        <v>169</v>
      </c>
      <c r="H285">
        <v>103946.19349999999</v>
      </c>
      <c r="I285">
        <v>3248013</v>
      </c>
      <c r="J285" t="s">
        <v>148</v>
      </c>
      <c r="K285" t="s">
        <v>148</v>
      </c>
      <c r="L285">
        <v>16</v>
      </c>
      <c r="M285" t="s">
        <v>149</v>
      </c>
      <c r="N285">
        <v>4</v>
      </c>
      <c r="O285">
        <v>3.6</v>
      </c>
      <c r="P285">
        <v>2</v>
      </c>
      <c r="Q285">
        <v>1000</v>
      </c>
      <c r="R285">
        <v>0.96294115899999999</v>
      </c>
      <c r="S285" t="s">
        <v>150</v>
      </c>
      <c r="T285">
        <v>19</v>
      </c>
      <c r="U285">
        <v>1</v>
      </c>
      <c r="V285">
        <v>19</v>
      </c>
      <c r="W285">
        <v>0</v>
      </c>
      <c r="X285" t="s">
        <v>149</v>
      </c>
      <c r="Y285" t="s">
        <v>157</v>
      </c>
    </row>
    <row r="286" spans="1:25">
      <c r="A286" t="s">
        <v>466</v>
      </c>
      <c r="B286" s="113">
        <v>43940</v>
      </c>
      <c r="C286" t="s">
        <v>159</v>
      </c>
      <c r="D286" t="s">
        <v>168</v>
      </c>
      <c r="E286">
        <v>35</v>
      </c>
      <c r="F286">
        <v>731</v>
      </c>
      <c r="G286" t="s">
        <v>155</v>
      </c>
      <c r="H286">
        <v>118096.5858</v>
      </c>
      <c r="I286">
        <v>2560321</v>
      </c>
      <c r="J286" t="s">
        <v>148</v>
      </c>
      <c r="K286" t="s">
        <v>148</v>
      </c>
      <c r="L286">
        <v>1.3</v>
      </c>
      <c r="M286" t="s">
        <v>149</v>
      </c>
      <c r="N286">
        <v>0</v>
      </c>
      <c r="O286">
        <v>1.5</v>
      </c>
      <c r="P286">
        <v>2</v>
      </c>
      <c r="Q286">
        <v>1100</v>
      </c>
      <c r="R286">
        <v>0.99361174600000002</v>
      </c>
      <c r="S286" t="s">
        <v>150</v>
      </c>
      <c r="T286">
        <v>16</v>
      </c>
      <c r="U286">
        <v>1</v>
      </c>
      <c r="V286">
        <v>16</v>
      </c>
      <c r="W286">
        <v>0</v>
      </c>
      <c r="X286" t="s">
        <v>149</v>
      </c>
      <c r="Y286" t="s">
        <v>157</v>
      </c>
    </row>
    <row r="287" spans="1:25">
      <c r="A287" t="s">
        <v>467</v>
      </c>
      <c r="B287" s="113">
        <v>43941</v>
      </c>
      <c r="C287" t="s">
        <v>162</v>
      </c>
      <c r="D287" t="s">
        <v>163</v>
      </c>
      <c r="E287">
        <v>64</v>
      </c>
      <c r="F287">
        <v>735</v>
      </c>
      <c r="G287" t="s">
        <v>176</v>
      </c>
      <c r="H287">
        <v>51170.7264</v>
      </c>
      <c r="I287">
        <v>4143706</v>
      </c>
      <c r="J287" t="s">
        <v>148</v>
      </c>
      <c r="K287" t="s">
        <v>148</v>
      </c>
      <c r="L287">
        <v>2</v>
      </c>
      <c r="M287" t="s">
        <v>149</v>
      </c>
      <c r="N287">
        <v>2</v>
      </c>
      <c r="O287">
        <v>0.6</v>
      </c>
      <c r="P287">
        <v>3</v>
      </c>
      <c r="Q287">
        <v>1100</v>
      </c>
      <c r="R287">
        <v>0.99890009099999999</v>
      </c>
      <c r="S287" t="s">
        <v>198</v>
      </c>
      <c r="Y287" t="s">
        <v>199</v>
      </c>
    </row>
    <row r="288" spans="1:25">
      <c r="A288" t="s">
        <v>468</v>
      </c>
      <c r="B288" s="113">
        <v>43943</v>
      </c>
      <c r="C288" t="s">
        <v>162</v>
      </c>
      <c r="D288" t="s">
        <v>187</v>
      </c>
      <c r="E288">
        <v>43</v>
      </c>
      <c r="F288">
        <v>767</v>
      </c>
      <c r="G288" t="s">
        <v>169</v>
      </c>
      <c r="H288">
        <v>48070.448880000004</v>
      </c>
      <c r="I288">
        <v>5560637</v>
      </c>
      <c r="J288" t="s">
        <v>183</v>
      </c>
      <c r="K288" t="s">
        <v>183</v>
      </c>
      <c r="L288">
        <v>5.8</v>
      </c>
      <c r="M288" t="s">
        <v>149</v>
      </c>
      <c r="N288">
        <v>2</v>
      </c>
      <c r="O288">
        <v>2.2000000000000002</v>
      </c>
      <c r="P288">
        <v>2</v>
      </c>
      <c r="Q288">
        <v>1550</v>
      </c>
      <c r="R288">
        <v>0.97867110000000002</v>
      </c>
      <c r="S288" t="s">
        <v>150</v>
      </c>
      <c r="T288">
        <v>12</v>
      </c>
      <c r="U288">
        <v>0</v>
      </c>
      <c r="V288">
        <v>12</v>
      </c>
      <c r="W288">
        <v>0</v>
      </c>
      <c r="X288" t="s">
        <v>149</v>
      </c>
      <c r="Y288" t="s">
        <v>157</v>
      </c>
    </row>
    <row r="289" spans="1:25">
      <c r="A289" t="s">
        <v>469</v>
      </c>
      <c r="B289" s="113">
        <v>43947</v>
      </c>
      <c r="C289" t="s">
        <v>145</v>
      </c>
      <c r="D289" t="s">
        <v>172</v>
      </c>
      <c r="E289">
        <v>28</v>
      </c>
      <c r="F289">
        <v>795</v>
      </c>
      <c r="G289" t="s">
        <v>176</v>
      </c>
      <c r="H289">
        <v>4866103</v>
      </c>
      <c r="I289">
        <v>4866103</v>
      </c>
      <c r="J289" t="s">
        <v>249</v>
      </c>
      <c r="K289" t="s">
        <v>249</v>
      </c>
      <c r="L289">
        <v>3.4</v>
      </c>
      <c r="M289" t="s">
        <v>149</v>
      </c>
      <c r="N289">
        <v>2</v>
      </c>
      <c r="O289">
        <v>1.1000000000000001</v>
      </c>
      <c r="P289">
        <v>1</v>
      </c>
      <c r="Q289">
        <v>0</v>
      </c>
      <c r="R289">
        <v>0.93344153200000002</v>
      </c>
      <c r="S289" t="s">
        <v>198</v>
      </c>
      <c r="T289">
        <v>0</v>
      </c>
      <c r="U289">
        <v>0</v>
      </c>
      <c r="V289">
        <v>0</v>
      </c>
      <c r="W289">
        <v>0</v>
      </c>
      <c r="X289" t="s">
        <v>149</v>
      </c>
      <c r="Y289" t="s">
        <v>199</v>
      </c>
    </row>
    <row r="290" spans="1:25">
      <c r="A290" t="s">
        <v>470</v>
      </c>
      <c r="B290" s="113">
        <v>43951</v>
      </c>
      <c r="C290" t="s">
        <v>159</v>
      </c>
      <c r="D290" t="s">
        <v>160</v>
      </c>
      <c r="E290">
        <v>34</v>
      </c>
      <c r="F290">
        <v>638</v>
      </c>
      <c r="G290" t="s">
        <v>169</v>
      </c>
      <c r="H290">
        <v>54610.146480000003</v>
      </c>
      <c r="I290">
        <v>6807811</v>
      </c>
      <c r="J290" t="s">
        <v>249</v>
      </c>
      <c r="K290" t="s">
        <v>249</v>
      </c>
      <c r="L290">
        <v>4.5999999999999996</v>
      </c>
      <c r="M290" t="s">
        <v>149</v>
      </c>
      <c r="N290">
        <v>1</v>
      </c>
      <c r="O290">
        <v>1.3</v>
      </c>
      <c r="P290">
        <v>4</v>
      </c>
      <c r="Q290">
        <v>1650</v>
      </c>
      <c r="R290">
        <v>0.86436679500000002</v>
      </c>
      <c r="S290" t="s">
        <v>150</v>
      </c>
      <c r="T290">
        <v>13</v>
      </c>
      <c r="U290">
        <v>1</v>
      </c>
      <c r="V290">
        <v>13</v>
      </c>
      <c r="W290">
        <v>0</v>
      </c>
      <c r="X290" t="s">
        <v>149</v>
      </c>
      <c r="Y290" t="s">
        <v>157</v>
      </c>
    </row>
    <row r="291" spans="1:25">
      <c r="A291" t="s">
        <v>471</v>
      </c>
      <c r="B291" s="113">
        <v>43955</v>
      </c>
      <c r="C291" t="s">
        <v>162</v>
      </c>
      <c r="D291" t="s">
        <v>193</v>
      </c>
      <c r="E291">
        <v>35</v>
      </c>
      <c r="F291">
        <v>681</v>
      </c>
      <c r="G291" t="s">
        <v>169</v>
      </c>
      <c r="H291">
        <v>139297.61290000001</v>
      </c>
      <c r="I291">
        <v>3650009</v>
      </c>
      <c r="J291" t="s">
        <v>183</v>
      </c>
      <c r="K291" t="s">
        <v>183</v>
      </c>
      <c r="L291">
        <v>3.1</v>
      </c>
      <c r="M291" t="s">
        <v>149</v>
      </c>
      <c r="N291">
        <v>1</v>
      </c>
      <c r="O291">
        <v>11.3</v>
      </c>
      <c r="P291">
        <v>4</v>
      </c>
      <c r="Q291">
        <v>2000</v>
      </c>
      <c r="R291">
        <v>0.773211435</v>
      </c>
      <c r="S291" t="s">
        <v>150</v>
      </c>
      <c r="T291">
        <v>12</v>
      </c>
      <c r="U291">
        <v>1</v>
      </c>
      <c r="V291">
        <v>12</v>
      </c>
      <c r="W291">
        <v>0</v>
      </c>
      <c r="X291" t="s">
        <v>149</v>
      </c>
      <c r="Y291" t="s">
        <v>157</v>
      </c>
    </row>
    <row r="292" spans="1:25">
      <c r="A292" t="s">
        <v>472</v>
      </c>
      <c r="B292" s="113">
        <v>43957</v>
      </c>
      <c r="C292" t="s">
        <v>145</v>
      </c>
      <c r="D292" t="s">
        <v>154</v>
      </c>
      <c r="E292">
        <v>51</v>
      </c>
      <c r="F292">
        <v>794</v>
      </c>
      <c r="G292" t="s">
        <v>147</v>
      </c>
      <c r="H292">
        <v>44465.29292</v>
      </c>
      <c r="I292">
        <v>4645528</v>
      </c>
      <c r="J292" t="s">
        <v>148</v>
      </c>
      <c r="K292" t="s">
        <v>148</v>
      </c>
      <c r="L292">
        <v>6.9</v>
      </c>
      <c r="M292" t="s">
        <v>149</v>
      </c>
      <c r="N292">
        <v>2</v>
      </c>
      <c r="O292">
        <v>1.7</v>
      </c>
      <c r="P292">
        <v>3</v>
      </c>
      <c r="Q292">
        <v>900</v>
      </c>
      <c r="R292">
        <v>0.66230405299999995</v>
      </c>
      <c r="S292" t="s">
        <v>150</v>
      </c>
      <c r="T292">
        <v>20</v>
      </c>
      <c r="U292">
        <v>1</v>
      </c>
      <c r="V292">
        <v>20</v>
      </c>
      <c r="W292">
        <v>0</v>
      </c>
      <c r="X292" t="s">
        <v>149</v>
      </c>
      <c r="Y292" t="s">
        <v>157</v>
      </c>
    </row>
    <row r="293" spans="1:25">
      <c r="A293" t="s">
        <v>473</v>
      </c>
      <c r="B293" s="113">
        <v>43957</v>
      </c>
      <c r="C293" t="s">
        <v>159</v>
      </c>
      <c r="D293" t="s">
        <v>209</v>
      </c>
      <c r="E293">
        <v>55</v>
      </c>
      <c r="F293">
        <v>670</v>
      </c>
      <c r="G293" t="s">
        <v>169</v>
      </c>
      <c r="H293">
        <v>31630.561559999998</v>
      </c>
      <c r="I293">
        <v>3237179</v>
      </c>
      <c r="J293" t="s">
        <v>148</v>
      </c>
      <c r="K293" t="s">
        <v>148</v>
      </c>
      <c r="L293">
        <v>0.4</v>
      </c>
      <c r="M293" t="s">
        <v>151</v>
      </c>
      <c r="N293">
        <v>3</v>
      </c>
      <c r="O293">
        <v>3.3</v>
      </c>
      <c r="P293">
        <v>2</v>
      </c>
      <c r="Q293">
        <v>800</v>
      </c>
      <c r="R293">
        <v>0.53447782700000002</v>
      </c>
      <c r="S293" t="s">
        <v>198</v>
      </c>
      <c r="Y293" t="s">
        <v>199</v>
      </c>
    </row>
    <row r="294" spans="1:25">
      <c r="A294" t="s">
        <v>474</v>
      </c>
      <c r="B294" s="113">
        <v>43960</v>
      </c>
      <c r="C294" t="s">
        <v>162</v>
      </c>
      <c r="D294" t="s">
        <v>195</v>
      </c>
      <c r="E294">
        <v>31</v>
      </c>
      <c r="F294">
        <v>802</v>
      </c>
      <c r="G294" t="s">
        <v>155</v>
      </c>
      <c r="H294">
        <v>82576.749939999994</v>
      </c>
      <c r="I294">
        <v>3228486</v>
      </c>
      <c r="J294" t="s">
        <v>148</v>
      </c>
      <c r="K294" t="s">
        <v>148</v>
      </c>
      <c r="L294">
        <v>1.6</v>
      </c>
      <c r="M294" t="s">
        <v>149</v>
      </c>
      <c r="N294">
        <v>2</v>
      </c>
      <c r="O294">
        <v>3.2</v>
      </c>
      <c r="P294">
        <v>2</v>
      </c>
      <c r="Q294">
        <v>900</v>
      </c>
      <c r="R294">
        <v>0.392998134</v>
      </c>
      <c r="S294" t="s">
        <v>150</v>
      </c>
      <c r="T294">
        <v>18</v>
      </c>
      <c r="U294">
        <v>1</v>
      </c>
      <c r="V294">
        <v>18</v>
      </c>
      <c r="W294">
        <v>0</v>
      </c>
      <c r="X294" t="s">
        <v>151</v>
      </c>
      <c r="Y294" t="s">
        <v>152</v>
      </c>
    </row>
    <row r="295" spans="1:25">
      <c r="A295" t="s">
        <v>475</v>
      </c>
      <c r="B295" s="113">
        <v>43961</v>
      </c>
      <c r="C295" t="s">
        <v>145</v>
      </c>
      <c r="D295" t="s">
        <v>280</v>
      </c>
      <c r="E295">
        <v>67</v>
      </c>
      <c r="F295">
        <v>587</v>
      </c>
      <c r="G295" t="s">
        <v>147</v>
      </c>
      <c r="H295">
        <v>13764.64249</v>
      </c>
      <c r="I295">
        <v>5513718</v>
      </c>
      <c r="J295" t="s">
        <v>148</v>
      </c>
      <c r="K295" t="s">
        <v>148</v>
      </c>
      <c r="L295">
        <v>11.3</v>
      </c>
      <c r="M295" t="s">
        <v>149</v>
      </c>
      <c r="N295">
        <v>3</v>
      </c>
      <c r="O295">
        <v>1.1000000000000001</v>
      </c>
      <c r="P295">
        <v>3</v>
      </c>
      <c r="Q295">
        <v>1100</v>
      </c>
      <c r="R295">
        <v>0.24147913300000001</v>
      </c>
      <c r="S295" t="s">
        <v>198</v>
      </c>
      <c r="Y295" t="s">
        <v>199</v>
      </c>
    </row>
    <row r="296" spans="1:25">
      <c r="A296" t="s">
        <v>476</v>
      </c>
      <c r="B296" s="113">
        <v>43961</v>
      </c>
      <c r="C296" t="s">
        <v>162</v>
      </c>
      <c r="D296" t="s">
        <v>179</v>
      </c>
      <c r="E296">
        <v>37</v>
      </c>
      <c r="F296">
        <v>671</v>
      </c>
      <c r="G296" t="s">
        <v>176</v>
      </c>
      <c r="H296">
        <v>22011.631239999999</v>
      </c>
      <c r="I296">
        <v>4008426</v>
      </c>
      <c r="J296" t="s">
        <v>148</v>
      </c>
      <c r="K296" t="s">
        <v>148</v>
      </c>
      <c r="L296">
        <v>5.7</v>
      </c>
      <c r="M296" t="s">
        <v>151</v>
      </c>
      <c r="N296">
        <v>2</v>
      </c>
      <c r="O296">
        <v>7.7</v>
      </c>
      <c r="P296">
        <v>3</v>
      </c>
      <c r="Q296">
        <v>1050</v>
      </c>
      <c r="R296">
        <v>8.3791442999999993E-2</v>
      </c>
      <c r="S296" t="s">
        <v>150</v>
      </c>
      <c r="T296">
        <v>15</v>
      </c>
      <c r="U296">
        <v>1</v>
      </c>
      <c r="V296">
        <v>15</v>
      </c>
      <c r="W296">
        <v>0</v>
      </c>
      <c r="X296" t="s">
        <v>149</v>
      </c>
      <c r="Y296" t="s">
        <v>157</v>
      </c>
    </row>
    <row r="297" spans="1:25">
      <c r="A297" t="s">
        <v>477</v>
      </c>
      <c r="B297" s="113">
        <v>43963</v>
      </c>
      <c r="C297" t="s">
        <v>162</v>
      </c>
      <c r="D297" t="s">
        <v>187</v>
      </c>
      <c r="E297">
        <v>36</v>
      </c>
      <c r="F297">
        <v>807</v>
      </c>
      <c r="G297" t="s">
        <v>169</v>
      </c>
      <c r="H297">
        <v>36563.53686</v>
      </c>
      <c r="I297">
        <v>6780440</v>
      </c>
      <c r="J297" t="s">
        <v>148</v>
      </c>
      <c r="K297" t="s">
        <v>148</v>
      </c>
      <c r="L297">
        <v>9.3000000000000007</v>
      </c>
      <c r="M297" t="s">
        <v>151</v>
      </c>
      <c r="N297">
        <v>2</v>
      </c>
      <c r="O297">
        <v>3.7</v>
      </c>
      <c r="P297">
        <v>3</v>
      </c>
      <c r="Q297">
        <v>1000</v>
      </c>
      <c r="R297">
        <v>7.6036735999999994E-2</v>
      </c>
      <c r="S297" t="s">
        <v>150</v>
      </c>
      <c r="T297">
        <v>21</v>
      </c>
      <c r="U297">
        <v>1</v>
      </c>
      <c r="V297">
        <v>21</v>
      </c>
      <c r="W297">
        <v>0</v>
      </c>
      <c r="X297" t="s">
        <v>149</v>
      </c>
      <c r="Y297" t="s">
        <v>157</v>
      </c>
    </row>
    <row r="298" spans="1:25">
      <c r="A298" t="s">
        <v>478</v>
      </c>
      <c r="B298" s="113">
        <v>43963</v>
      </c>
      <c r="C298" t="s">
        <v>145</v>
      </c>
      <c r="D298" t="s">
        <v>280</v>
      </c>
      <c r="E298">
        <v>33</v>
      </c>
      <c r="F298">
        <v>679</v>
      </c>
      <c r="G298" t="s">
        <v>155</v>
      </c>
      <c r="H298">
        <v>50711.568180000002</v>
      </c>
      <c r="I298">
        <v>5280975</v>
      </c>
      <c r="J298" t="s">
        <v>148</v>
      </c>
      <c r="K298" t="s">
        <v>148</v>
      </c>
      <c r="L298">
        <v>6.3</v>
      </c>
      <c r="M298" t="s">
        <v>149</v>
      </c>
      <c r="N298">
        <v>4</v>
      </c>
      <c r="O298">
        <v>11.9</v>
      </c>
      <c r="P298">
        <v>2</v>
      </c>
      <c r="Q298">
        <v>1650</v>
      </c>
      <c r="R298">
        <v>0.23392252299999999</v>
      </c>
      <c r="S298" t="s">
        <v>198</v>
      </c>
      <c r="Y298" t="s">
        <v>199</v>
      </c>
    </row>
    <row r="299" spans="1:25">
      <c r="A299" t="s">
        <v>479</v>
      </c>
      <c r="B299" s="113">
        <v>43966</v>
      </c>
      <c r="C299" t="s">
        <v>162</v>
      </c>
      <c r="D299" t="s">
        <v>187</v>
      </c>
      <c r="E299">
        <v>36</v>
      </c>
      <c r="F299">
        <v>530</v>
      </c>
      <c r="G299" t="s">
        <v>169</v>
      </c>
      <c r="H299">
        <v>49781.521639999999</v>
      </c>
      <c r="I299">
        <v>2718747</v>
      </c>
      <c r="J299" t="s">
        <v>156</v>
      </c>
      <c r="K299" t="s">
        <v>156</v>
      </c>
      <c r="L299">
        <v>5.3</v>
      </c>
      <c r="M299" t="s">
        <v>149</v>
      </c>
      <c r="N299">
        <v>4</v>
      </c>
      <c r="O299">
        <v>2</v>
      </c>
      <c r="P299">
        <v>3</v>
      </c>
      <c r="Q299">
        <v>1150</v>
      </c>
      <c r="R299">
        <v>0.38583265900000002</v>
      </c>
      <c r="S299" t="s">
        <v>150</v>
      </c>
      <c r="T299">
        <v>18</v>
      </c>
      <c r="U299">
        <v>1</v>
      </c>
      <c r="V299">
        <v>18</v>
      </c>
      <c r="W299">
        <v>0</v>
      </c>
      <c r="X299" t="s">
        <v>149</v>
      </c>
      <c r="Y299" t="s">
        <v>157</v>
      </c>
    </row>
    <row r="300" spans="1:25">
      <c r="A300" t="s">
        <v>480</v>
      </c>
      <c r="B300" s="113">
        <v>43966</v>
      </c>
      <c r="C300" t="s">
        <v>162</v>
      </c>
      <c r="D300" t="s">
        <v>190</v>
      </c>
      <c r="E300">
        <v>48</v>
      </c>
      <c r="F300">
        <v>610</v>
      </c>
      <c r="G300" t="s">
        <v>155</v>
      </c>
      <c r="H300">
        <v>44891.772069999999</v>
      </c>
      <c r="I300">
        <v>5178397</v>
      </c>
      <c r="J300" t="s">
        <v>148</v>
      </c>
      <c r="K300" t="s">
        <v>148</v>
      </c>
      <c r="L300">
        <v>9.1</v>
      </c>
      <c r="M300" t="s">
        <v>149</v>
      </c>
      <c r="N300">
        <v>1</v>
      </c>
      <c r="O300">
        <v>15.6</v>
      </c>
      <c r="P300">
        <v>2</v>
      </c>
      <c r="Q300">
        <v>1000</v>
      </c>
      <c r="R300">
        <v>0.52788653100000005</v>
      </c>
      <c r="S300" t="s">
        <v>150</v>
      </c>
      <c r="T300">
        <v>23</v>
      </c>
      <c r="U300">
        <v>1</v>
      </c>
      <c r="V300">
        <v>23</v>
      </c>
      <c r="W300">
        <v>0</v>
      </c>
      <c r="X300" t="s">
        <v>149</v>
      </c>
      <c r="Y300" t="s">
        <v>157</v>
      </c>
    </row>
    <row r="301" spans="1:25">
      <c r="A301" t="s">
        <v>481</v>
      </c>
      <c r="B301" s="113">
        <v>43972</v>
      </c>
      <c r="C301" t="s">
        <v>159</v>
      </c>
      <c r="D301" t="s">
        <v>209</v>
      </c>
      <c r="E301">
        <v>28</v>
      </c>
      <c r="F301">
        <v>684</v>
      </c>
      <c r="G301" t="s">
        <v>155</v>
      </c>
      <c r="H301">
        <v>10401.962729999999</v>
      </c>
      <c r="I301">
        <v>3111935</v>
      </c>
      <c r="J301" t="s">
        <v>148</v>
      </c>
      <c r="K301" t="s">
        <v>148</v>
      </c>
      <c r="L301">
        <v>2.5</v>
      </c>
      <c r="M301" t="s">
        <v>149</v>
      </c>
      <c r="N301">
        <v>3</v>
      </c>
      <c r="O301">
        <v>9</v>
      </c>
      <c r="P301">
        <v>4</v>
      </c>
      <c r="Q301">
        <v>850</v>
      </c>
      <c r="R301">
        <v>0.65645531400000001</v>
      </c>
      <c r="S301" t="s">
        <v>150</v>
      </c>
      <c r="T301">
        <v>14</v>
      </c>
      <c r="U301">
        <v>0</v>
      </c>
      <c r="V301">
        <v>14</v>
      </c>
      <c r="W301">
        <v>0</v>
      </c>
      <c r="X301" t="s">
        <v>151</v>
      </c>
      <c r="Y301" t="s">
        <v>152</v>
      </c>
    </row>
    <row r="302" spans="1:25">
      <c r="A302" t="s">
        <v>482</v>
      </c>
      <c r="B302" s="113">
        <v>43975</v>
      </c>
      <c r="C302" t="s">
        <v>145</v>
      </c>
      <c r="D302" t="s">
        <v>280</v>
      </c>
      <c r="E302">
        <v>52</v>
      </c>
      <c r="F302">
        <v>605</v>
      </c>
      <c r="G302" t="s">
        <v>169</v>
      </c>
      <c r="H302">
        <v>66386.681490000003</v>
      </c>
      <c r="I302">
        <v>66386.681490000003</v>
      </c>
      <c r="J302" t="s">
        <v>183</v>
      </c>
      <c r="K302" t="s">
        <v>183</v>
      </c>
      <c r="L302">
        <v>1.3</v>
      </c>
      <c r="M302" t="s">
        <v>149</v>
      </c>
      <c r="N302">
        <v>5</v>
      </c>
      <c r="O302">
        <v>2.8</v>
      </c>
      <c r="P302">
        <v>1</v>
      </c>
      <c r="Q302">
        <v>2050</v>
      </c>
      <c r="R302">
        <v>0.76825466099999995</v>
      </c>
      <c r="S302" t="s">
        <v>150</v>
      </c>
      <c r="T302">
        <v>23</v>
      </c>
      <c r="U302">
        <v>0</v>
      </c>
      <c r="V302">
        <v>23</v>
      </c>
      <c r="W302">
        <v>0</v>
      </c>
      <c r="X302" t="s">
        <v>151</v>
      </c>
      <c r="Y302" t="s">
        <v>152</v>
      </c>
    </row>
    <row r="303" spans="1:25">
      <c r="A303" t="s">
        <v>483</v>
      </c>
      <c r="B303" s="113">
        <v>43976</v>
      </c>
      <c r="C303" t="s">
        <v>159</v>
      </c>
      <c r="D303" t="s">
        <v>197</v>
      </c>
      <c r="E303">
        <v>28</v>
      </c>
      <c r="F303">
        <v>669</v>
      </c>
      <c r="G303" t="s">
        <v>155</v>
      </c>
      <c r="H303">
        <v>92879.823980000001</v>
      </c>
      <c r="I303">
        <v>92879.823980000001</v>
      </c>
      <c r="J303" t="s">
        <v>148</v>
      </c>
      <c r="K303" t="s">
        <v>148</v>
      </c>
      <c r="L303">
        <v>1.1000000000000001</v>
      </c>
      <c r="M303" t="s">
        <v>149</v>
      </c>
      <c r="N303">
        <v>2</v>
      </c>
      <c r="O303">
        <v>3.7</v>
      </c>
      <c r="P303">
        <v>1</v>
      </c>
      <c r="Q303">
        <v>1100</v>
      </c>
      <c r="R303">
        <v>0.86042861000000004</v>
      </c>
      <c r="S303" t="s">
        <v>150</v>
      </c>
      <c r="T303">
        <v>22</v>
      </c>
      <c r="U303">
        <v>0</v>
      </c>
      <c r="V303">
        <v>22</v>
      </c>
      <c r="W303">
        <v>0</v>
      </c>
      <c r="X303" t="s">
        <v>149</v>
      </c>
      <c r="Y303" t="s">
        <v>157</v>
      </c>
    </row>
    <row r="304" spans="1:25">
      <c r="A304" t="s">
        <v>484</v>
      </c>
      <c r="B304" s="113">
        <v>43977</v>
      </c>
      <c r="C304" t="s">
        <v>159</v>
      </c>
      <c r="D304" t="s">
        <v>160</v>
      </c>
      <c r="E304">
        <v>67</v>
      </c>
      <c r="F304">
        <v>717</v>
      </c>
      <c r="G304" t="s">
        <v>176</v>
      </c>
      <c r="H304">
        <v>36141.594169999997</v>
      </c>
      <c r="I304">
        <v>36141.594169999997</v>
      </c>
      <c r="J304" t="s">
        <v>148</v>
      </c>
      <c r="K304" t="s">
        <v>148</v>
      </c>
      <c r="L304">
        <v>5.5</v>
      </c>
      <c r="M304" t="s">
        <v>149</v>
      </c>
      <c r="N304">
        <v>0</v>
      </c>
      <c r="O304">
        <v>0.9</v>
      </c>
      <c r="P304">
        <v>3</v>
      </c>
      <c r="Q304">
        <v>1700</v>
      </c>
      <c r="R304">
        <v>0.93062253800000005</v>
      </c>
      <c r="S304" t="s">
        <v>150</v>
      </c>
      <c r="T304">
        <v>22</v>
      </c>
      <c r="U304">
        <v>0</v>
      </c>
      <c r="V304">
        <v>22</v>
      </c>
      <c r="W304">
        <v>0</v>
      </c>
      <c r="X304" t="s">
        <v>149</v>
      </c>
      <c r="Y304" t="s">
        <v>157</v>
      </c>
    </row>
    <row r="305" spans="1:25">
      <c r="A305" t="s">
        <v>485</v>
      </c>
      <c r="B305" s="113">
        <v>43981</v>
      </c>
      <c r="C305" t="s">
        <v>162</v>
      </c>
      <c r="D305" t="s">
        <v>187</v>
      </c>
      <c r="E305">
        <v>58</v>
      </c>
      <c r="F305">
        <v>742</v>
      </c>
      <c r="G305" t="s">
        <v>147</v>
      </c>
      <c r="H305">
        <v>57010.480560000004</v>
      </c>
      <c r="I305">
        <v>57010.480560000004</v>
      </c>
      <c r="J305" t="s">
        <v>148</v>
      </c>
      <c r="K305" t="s">
        <v>148</v>
      </c>
      <c r="L305">
        <v>8.5</v>
      </c>
      <c r="M305" t="s">
        <v>149</v>
      </c>
      <c r="N305">
        <v>1</v>
      </c>
      <c r="O305">
        <v>0.5</v>
      </c>
      <c r="P305">
        <v>2</v>
      </c>
      <c r="Q305">
        <v>1850</v>
      </c>
      <c r="R305">
        <v>0.97704330900000003</v>
      </c>
      <c r="S305" t="s">
        <v>150</v>
      </c>
      <c r="T305">
        <v>12</v>
      </c>
      <c r="U305">
        <v>0</v>
      </c>
      <c r="V305">
        <v>12</v>
      </c>
      <c r="W305">
        <v>0</v>
      </c>
      <c r="X305" t="s">
        <v>149</v>
      </c>
      <c r="Y305" t="s">
        <v>157</v>
      </c>
    </row>
    <row r="306" spans="1:25">
      <c r="A306" t="s">
        <v>486</v>
      </c>
      <c r="B306" s="113">
        <v>43981</v>
      </c>
      <c r="C306" t="s">
        <v>145</v>
      </c>
      <c r="D306" t="s">
        <v>280</v>
      </c>
      <c r="E306">
        <v>38</v>
      </c>
      <c r="F306">
        <v>784</v>
      </c>
      <c r="G306" t="s">
        <v>147</v>
      </c>
      <c r="H306">
        <v>41309.806479999999</v>
      </c>
      <c r="J306" t="s">
        <v>148</v>
      </c>
      <c r="K306" t="s">
        <v>148</v>
      </c>
      <c r="L306">
        <v>8.8000000000000007</v>
      </c>
      <c r="M306" t="s">
        <v>149</v>
      </c>
      <c r="N306">
        <v>3</v>
      </c>
      <c r="O306">
        <v>0.1</v>
      </c>
      <c r="P306">
        <v>1</v>
      </c>
      <c r="Q306">
        <v>1500</v>
      </c>
      <c r="R306">
        <v>0.99850508599999999</v>
      </c>
      <c r="S306" t="s">
        <v>150</v>
      </c>
      <c r="T306">
        <v>15</v>
      </c>
      <c r="U306">
        <v>1</v>
      </c>
      <c r="V306">
        <v>15</v>
      </c>
      <c r="W306">
        <v>0</v>
      </c>
      <c r="X306" t="s">
        <v>149</v>
      </c>
      <c r="Y306" t="s">
        <v>157</v>
      </c>
    </row>
    <row r="307" spans="1:25">
      <c r="A307" t="s">
        <v>487</v>
      </c>
      <c r="B307" s="113">
        <v>43982</v>
      </c>
      <c r="C307" t="s">
        <v>162</v>
      </c>
      <c r="D307" t="s">
        <v>179</v>
      </c>
      <c r="E307">
        <v>44</v>
      </c>
      <c r="F307">
        <v>821</v>
      </c>
      <c r="G307" t="s">
        <v>147</v>
      </c>
      <c r="H307">
        <v>30124.663059999999</v>
      </c>
      <c r="I307">
        <v>30124.663059999999</v>
      </c>
      <c r="J307" t="s">
        <v>148</v>
      </c>
      <c r="K307" t="s">
        <v>148</v>
      </c>
      <c r="L307">
        <v>2.9</v>
      </c>
      <c r="M307" t="s">
        <v>149</v>
      </c>
      <c r="N307">
        <v>2</v>
      </c>
      <c r="O307">
        <v>8.3000000000000007</v>
      </c>
      <c r="P307">
        <v>3</v>
      </c>
      <c r="Q307">
        <v>1400</v>
      </c>
      <c r="R307">
        <v>0.99445961800000005</v>
      </c>
      <c r="S307" t="s">
        <v>150</v>
      </c>
      <c r="T307">
        <v>20</v>
      </c>
      <c r="U307">
        <v>1</v>
      </c>
      <c r="V307">
        <v>20</v>
      </c>
      <c r="W307">
        <v>0</v>
      </c>
      <c r="X307" t="s">
        <v>149</v>
      </c>
      <c r="Y307" t="s">
        <v>157</v>
      </c>
    </row>
    <row r="308" spans="1:25">
      <c r="A308" t="s">
        <v>488</v>
      </c>
      <c r="B308" s="113">
        <v>43983</v>
      </c>
      <c r="C308" t="s">
        <v>145</v>
      </c>
      <c r="D308" t="s">
        <v>280</v>
      </c>
      <c r="E308">
        <v>33</v>
      </c>
      <c r="F308">
        <v>697</v>
      </c>
      <c r="G308" t="s">
        <v>155</v>
      </c>
      <c r="H308">
        <v>38676.477639999997</v>
      </c>
      <c r="I308">
        <v>38676.477639999997</v>
      </c>
      <c r="J308" t="s">
        <v>148</v>
      </c>
      <c r="K308" t="s">
        <v>148</v>
      </c>
      <c r="L308">
        <v>3.6</v>
      </c>
      <c r="M308" t="s">
        <v>151</v>
      </c>
      <c r="N308">
        <v>1</v>
      </c>
      <c r="O308">
        <v>0.2</v>
      </c>
      <c r="P308">
        <v>3</v>
      </c>
      <c r="Q308">
        <v>2200</v>
      </c>
      <c r="R308">
        <v>0.96501024800000001</v>
      </c>
      <c r="S308" t="s">
        <v>198</v>
      </c>
      <c r="Y308" t="s">
        <v>199</v>
      </c>
    </row>
    <row r="309" spans="1:25">
      <c r="A309" t="s">
        <v>489</v>
      </c>
      <c r="B309" s="113">
        <v>43983</v>
      </c>
      <c r="C309" t="s">
        <v>162</v>
      </c>
      <c r="D309" t="s">
        <v>163</v>
      </c>
      <c r="E309">
        <v>60</v>
      </c>
      <c r="F309">
        <v>811</v>
      </c>
      <c r="G309" t="s">
        <v>176</v>
      </c>
      <c r="H309">
        <v>35269.371209999998</v>
      </c>
      <c r="I309">
        <v>35269.371209999998</v>
      </c>
      <c r="J309" t="s">
        <v>148</v>
      </c>
      <c r="K309" t="s">
        <v>148</v>
      </c>
      <c r="L309">
        <v>2.1</v>
      </c>
      <c r="M309" t="s">
        <v>149</v>
      </c>
      <c r="N309">
        <v>2</v>
      </c>
      <c r="O309">
        <v>3.3</v>
      </c>
      <c r="P309">
        <v>3</v>
      </c>
      <c r="Q309">
        <v>1550</v>
      </c>
      <c r="R309">
        <v>0.91090927300000002</v>
      </c>
      <c r="S309" t="s">
        <v>150</v>
      </c>
      <c r="T309">
        <v>19</v>
      </c>
      <c r="U309">
        <v>0</v>
      </c>
      <c r="V309">
        <v>19</v>
      </c>
      <c r="W309">
        <v>0</v>
      </c>
      <c r="X309" t="s">
        <v>149</v>
      </c>
      <c r="Y309" t="s">
        <v>157</v>
      </c>
    </row>
    <row r="310" spans="1:25">
      <c r="A310" t="s">
        <v>490</v>
      </c>
      <c r="B310" s="113">
        <v>43983</v>
      </c>
      <c r="C310" t="s">
        <v>162</v>
      </c>
      <c r="D310" t="s">
        <v>195</v>
      </c>
      <c r="E310">
        <v>29</v>
      </c>
      <c r="F310">
        <v>731</v>
      </c>
      <c r="G310" t="s">
        <v>176</v>
      </c>
      <c r="H310">
        <v>112395.75</v>
      </c>
      <c r="I310">
        <v>112395.75</v>
      </c>
      <c r="J310" t="s">
        <v>170</v>
      </c>
      <c r="K310" t="s">
        <v>170</v>
      </c>
      <c r="L310">
        <v>3.4</v>
      </c>
      <c r="M310" t="s">
        <v>149</v>
      </c>
      <c r="N310">
        <v>1</v>
      </c>
      <c r="O310">
        <v>8.5</v>
      </c>
      <c r="P310">
        <v>2</v>
      </c>
      <c r="Q310">
        <v>1150</v>
      </c>
      <c r="R310">
        <v>0.83353872600000001</v>
      </c>
      <c r="S310" t="s">
        <v>150</v>
      </c>
      <c r="T310">
        <v>6</v>
      </c>
      <c r="U310">
        <v>0</v>
      </c>
      <c r="V310">
        <v>6</v>
      </c>
      <c r="W310">
        <v>0</v>
      </c>
      <c r="X310" t="s">
        <v>151</v>
      </c>
      <c r="Y310" t="s">
        <v>152</v>
      </c>
    </row>
    <row r="311" spans="1:25">
      <c r="A311" t="s">
        <v>491</v>
      </c>
      <c r="B311" s="113">
        <v>43984</v>
      </c>
      <c r="C311" t="s">
        <v>162</v>
      </c>
      <c r="D311" t="s">
        <v>193</v>
      </c>
      <c r="E311">
        <v>32</v>
      </c>
      <c r="F311">
        <v>497</v>
      </c>
      <c r="G311" t="s">
        <v>176</v>
      </c>
      <c r="H311">
        <v>41041.958780000001</v>
      </c>
      <c r="J311" t="s">
        <v>148</v>
      </c>
      <c r="K311" t="s">
        <v>148</v>
      </c>
      <c r="L311">
        <v>9</v>
      </c>
      <c r="M311" t="s">
        <v>149</v>
      </c>
      <c r="N311">
        <v>1</v>
      </c>
      <c r="O311">
        <v>2.9</v>
      </c>
      <c r="P311">
        <v>3</v>
      </c>
      <c r="Q311">
        <v>1300</v>
      </c>
      <c r="R311">
        <v>0.73487507200000002</v>
      </c>
      <c r="S311" t="s">
        <v>150</v>
      </c>
      <c r="T311">
        <v>22</v>
      </c>
      <c r="U311">
        <v>0</v>
      </c>
      <c r="V311">
        <v>22</v>
      </c>
      <c r="W311">
        <v>0</v>
      </c>
      <c r="X311" t="s">
        <v>151</v>
      </c>
      <c r="Y311" t="s">
        <v>152</v>
      </c>
    </row>
    <row r="312" spans="1:25">
      <c r="A312" t="s">
        <v>492</v>
      </c>
      <c r="B312" s="113">
        <v>43985</v>
      </c>
      <c r="C312" t="s">
        <v>145</v>
      </c>
      <c r="D312" t="s">
        <v>154</v>
      </c>
      <c r="E312">
        <v>26</v>
      </c>
      <c r="F312">
        <v>541</v>
      </c>
      <c r="G312" t="s">
        <v>176</v>
      </c>
      <c r="H312">
        <v>38615.518620000003</v>
      </c>
      <c r="I312">
        <v>38615.518620000003</v>
      </c>
      <c r="J312" t="s">
        <v>148</v>
      </c>
      <c r="K312" t="s">
        <v>148</v>
      </c>
      <c r="L312">
        <v>6.6</v>
      </c>
      <c r="M312" t="s">
        <v>149</v>
      </c>
      <c r="N312">
        <v>5</v>
      </c>
      <c r="O312">
        <v>2.7</v>
      </c>
      <c r="P312">
        <v>3</v>
      </c>
      <c r="Q312">
        <v>1600</v>
      </c>
      <c r="R312">
        <v>0.61743871500000003</v>
      </c>
      <c r="S312" t="s">
        <v>150</v>
      </c>
      <c r="T312">
        <v>20</v>
      </c>
      <c r="U312">
        <v>0</v>
      </c>
      <c r="V312">
        <v>20</v>
      </c>
      <c r="W312">
        <v>0</v>
      </c>
      <c r="X312" t="s">
        <v>149</v>
      </c>
      <c r="Y312" t="s">
        <v>157</v>
      </c>
    </row>
    <row r="313" spans="1:25">
      <c r="A313" t="s">
        <v>493</v>
      </c>
      <c r="B313" s="113">
        <v>43987</v>
      </c>
      <c r="C313" t="s">
        <v>145</v>
      </c>
      <c r="D313" t="s">
        <v>154</v>
      </c>
      <c r="E313">
        <v>61</v>
      </c>
      <c r="F313">
        <v>782</v>
      </c>
      <c r="G313" t="s">
        <v>169</v>
      </c>
      <c r="H313">
        <v>42410.366260000003</v>
      </c>
      <c r="I313">
        <v>42410.366260000003</v>
      </c>
      <c r="J313" t="s">
        <v>183</v>
      </c>
      <c r="K313" t="s">
        <v>183</v>
      </c>
      <c r="L313">
        <v>1.1000000000000001</v>
      </c>
      <c r="M313" t="s">
        <v>149</v>
      </c>
      <c r="N313">
        <v>1</v>
      </c>
      <c r="O313">
        <v>1.8</v>
      </c>
      <c r="P313">
        <v>3</v>
      </c>
      <c r="Q313">
        <v>1350</v>
      </c>
      <c r="R313">
        <v>0.48422961799999997</v>
      </c>
      <c r="S313" t="s">
        <v>150</v>
      </c>
      <c r="T313">
        <v>19</v>
      </c>
      <c r="U313">
        <v>1</v>
      </c>
      <c r="V313">
        <v>19</v>
      </c>
      <c r="W313">
        <v>0</v>
      </c>
      <c r="X313" t="s">
        <v>149</v>
      </c>
      <c r="Y313" t="s">
        <v>157</v>
      </c>
    </row>
    <row r="314" spans="1:25">
      <c r="A314" t="s">
        <v>494</v>
      </c>
      <c r="B314" s="113">
        <v>43988</v>
      </c>
      <c r="C314" t="s">
        <v>162</v>
      </c>
      <c r="D314" t="s">
        <v>187</v>
      </c>
      <c r="E314">
        <v>36</v>
      </c>
      <c r="F314">
        <v>729</v>
      </c>
      <c r="G314" t="s">
        <v>155</v>
      </c>
      <c r="H314">
        <v>73033.391300000003</v>
      </c>
      <c r="I314">
        <v>73033.391300000003</v>
      </c>
      <c r="J314" t="s">
        <v>148</v>
      </c>
      <c r="K314" t="s">
        <v>148</v>
      </c>
      <c r="L314">
        <v>0</v>
      </c>
      <c r="M314" t="s">
        <v>149</v>
      </c>
      <c r="N314">
        <v>7</v>
      </c>
      <c r="O314">
        <v>10.8</v>
      </c>
      <c r="P314">
        <v>3</v>
      </c>
      <c r="Q314">
        <v>800</v>
      </c>
      <c r="R314">
        <v>0.33865066700000002</v>
      </c>
      <c r="S314" t="s">
        <v>150</v>
      </c>
      <c r="T314">
        <v>13</v>
      </c>
      <c r="U314">
        <v>0</v>
      </c>
      <c r="V314">
        <v>13</v>
      </c>
      <c r="W314">
        <v>0</v>
      </c>
      <c r="X314" t="s">
        <v>149</v>
      </c>
      <c r="Y314" t="s">
        <v>157</v>
      </c>
    </row>
    <row r="315" spans="1:25">
      <c r="A315" t="s">
        <v>495</v>
      </c>
      <c r="B315" s="113">
        <v>43988</v>
      </c>
      <c r="C315" t="s">
        <v>159</v>
      </c>
      <c r="D315" t="s">
        <v>160</v>
      </c>
      <c r="E315">
        <v>50</v>
      </c>
      <c r="F315">
        <v>731</v>
      </c>
      <c r="G315" t="s">
        <v>147</v>
      </c>
      <c r="H315">
        <v>73617.919110000003</v>
      </c>
      <c r="I315">
        <v>73617.919110000003</v>
      </c>
      <c r="J315" t="s">
        <v>183</v>
      </c>
      <c r="K315" t="s">
        <v>183</v>
      </c>
      <c r="L315">
        <v>20.9</v>
      </c>
      <c r="M315" t="s">
        <v>149</v>
      </c>
      <c r="N315">
        <v>3</v>
      </c>
      <c r="O315">
        <v>0.9</v>
      </c>
      <c r="P315">
        <v>3</v>
      </c>
      <c r="Q315">
        <v>1050</v>
      </c>
      <c r="R315">
        <v>0.184420737</v>
      </c>
      <c r="S315" t="s">
        <v>150</v>
      </c>
      <c r="T315">
        <v>18</v>
      </c>
      <c r="U315">
        <v>0</v>
      </c>
      <c r="V315">
        <v>18</v>
      </c>
      <c r="W315">
        <v>0</v>
      </c>
      <c r="X315" t="s">
        <v>151</v>
      </c>
      <c r="Y315" t="s">
        <v>152</v>
      </c>
    </row>
    <row r="316" spans="1:25">
      <c r="A316" t="s">
        <v>496</v>
      </c>
      <c r="B316" s="113">
        <v>43991</v>
      </c>
      <c r="C316" t="s">
        <v>162</v>
      </c>
      <c r="D316" t="s">
        <v>190</v>
      </c>
      <c r="E316">
        <v>35</v>
      </c>
      <c r="F316">
        <v>573</v>
      </c>
      <c r="G316" t="s">
        <v>147</v>
      </c>
      <c r="H316">
        <v>23542.37975</v>
      </c>
      <c r="I316">
        <v>23542.37975</v>
      </c>
      <c r="J316" t="s">
        <v>148</v>
      </c>
      <c r="K316" t="s">
        <v>148</v>
      </c>
      <c r="L316">
        <v>9.6</v>
      </c>
      <c r="M316" t="s">
        <v>149</v>
      </c>
      <c r="N316">
        <v>4</v>
      </c>
      <c r="O316">
        <v>8.6999999999999993</v>
      </c>
      <c r="P316">
        <v>2</v>
      </c>
      <c r="Q316">
        <v>1250</v>
      </c>
      <c r="R316">
        <v>2.5479700000000001E-2</v>
      </c>
      <c r="S316" t="s">
        <v>150</v>
      </c>
      <c r="T316">
        <v>15</v>
      </c>
      <c r="U316">
        <v>0</v>
      </c>
      <c r="V316">
        <v>15</v>
      </c>
      <c r="W316">
        <v>0</v>
      </c>
      <c r="X316" t="s">
        <v>149</v>
      </c>
      <c r="Y316" t="s">
        <v>157</v>
      </c>
    </row>
    <row r="317" spans="1:25">
      <c r="A317" t="s">
        <v>497</v>
      </c>
      <c r="B317" s="113">
        <v>43995</v>
      </c>
      <c r="C317" t="s">
        <v>159</v>
      </c>
      <c r="D317" t="s">
        <v>197</v>
      </c>
      <c r="E317">
        <v>59</v>
      </c>
      <c r="F317">
        <v>706</v>
      </c>
      <c r="G317" t="s">
        <v>169</v>
      </c>
      <c r="H317">
        <v>13658.45318</v>
      </c>
      <c r="I317">
        <v>13658.45318</v>
      </c>
      <c r="J317" t="s">
        <v>148</v>
      </c>
      <c r="K317" t="s">
        <v>148</v>
      </c>
      <c r="L317">
        <v>3.1</v>
      </c>
      <c r="M317" t="s">
        <v>149</v>
      </c>
      <c r="N317">
        <v>2</v>
      </c>
      <c r="O317">
        <v>2.2000000000000002</v>
      </c>
      <c r="P317">
        <v>2</v>
      </c>
      <c r="Q317">
        <v>1500</v>
      </c>
      <c r="R317">
        <v>0.134112228</v>
      </c>
      <c r="S317" t="s">
        <v>198</v>
      </c>
      <c r="Y317" t="s">
        <v>199</v>
      </c>
    </row>
    <row r="318" spans="1:25">
      <c r="A318" t="s">
        <v>498</v>
      </c>
      <c r="B318" s="113">
        <v>43998</v>
      </c>
      <c r="C318" t="s">
        <v>145</v>
      </c>
      <c r="D318" t="s">
        <v>213</v>
      </c>
      <c r="E318">
        <v>52</v>
      </c>
      <c r="F318">
        <v>691</v>
      </c>
      <c r="G318" t="s">
        <v>155</v>
      </c>
      <c r="H318">
        <v>60751.407789999997</v>
      </c>
      <c r="I318">
        <v>60751.407789999997</v>
      </c>
      <c r="J318" t="s">
        <v>148</v>
      </c>
      <c r="K318" t="s">
        <v>148</v>
      </c>
      <c r="L318">
        <v>7.4</v>
      </c>
      <c r="M318" t="s">
        <v>149</v>
      </c>
      <c r="N318">
        <v>5</v>
      </c>
      <c r="O318">
        <v>2.2999999999999998</v>
      </c>
      <c r="P318">
        <v>4</v>
      </c>
      <c r="Q318">
        <v>1600</v>
      </c>
      <c r="R318">
        <v>0.29027819999999999</v>
      </c>
      <c r="S318" t="s">
        <v>150</v>
      </c>
      <c r="T318">
        <v>12</v>
      </c>
      <c r="U318">
        <v>0</v>
      </c>
      <c r="V318">
        <v>12</v>
      </c>
      <c r="W318">
        <v>0</v>
      </c>
      <c r="X318" t="s">
        <v>149</v>
      </c>
      <c r="Y318" t="s">
        <v>157</v>
      </c>
    </row>
    <row r="319" spans="1:25">
      <c r="A319" t="s">
        <v>499</v>
      </c>
      <c r="B319" s="113">
        <v>43998</v>
      </c>
      <c r="C319" t="s">
        <v>162</v>
      </c>
      <c r="D319" t="s">
        <v>195</v>
      </c>
      <c r="E319">
        <v>53</v>
      </c>
      <c r="F319">
        <v>734</v>
      </c>
      <c r="G319" t="s">
        <v>155</v>
      </c>
      <c r="H319">
        <v>54979.198149999997</v>
      </c>
      <c r="J319" t="s">
        <v>148</v>
      </c>
      <c r="K319" t="s">
        <v>148</v>
      </c>
      <c r="L319">
        <v>3.9</v>
      </c>
      <c r="M319" t="s">
        <v>149</v>
      </c>
      <c r="N319">
        <v>3</v>
      </c>
      <c r="O319">
        <v>0.2</v>
      </c>
      <c r="P319">
        <v>3</v>
      </c>
      <c r="Q319">
        <v>950</v>
      </c>
      <c r="R319">
        <v>0.43902889</v>
      </c>
      <c r="S319" t="s">
        <v>150</v>
      </c>
      <c r="T319">
        <v>20</v>
      </c>
      <c r="U319">
        <v>0</v>
      </c>
      <c r="V319">
        <v>20</v>
      </c>
      <c r="W319">
        <v>0</v>
      </c>
      <c r="X319" t="s">
        <v>149</v>
      </c>
      <c r="Y319" t="s">
        <v>157</v>
      </c>
    </row>
    <row r="320" spans="1:25">
      <c r="A320" t="s">
        <v>500</v>
      </c>
      <c r="B320" s="113">
        <v>44001</v>
      </c>
      <c r="C320" t="s">
        <v>159</v>
      </c>
      <c r="D320" t="s">
        <v>168</v>
      </c>
      <c r="E320">
        <v>25</v>
      </c>
      <c r="F320">
        <v>957</v>
      </c>
      <c r="G320" t="s">
        <v>147</v>
      </c>
      <c r="H320">
        <v>37289.622840000004</v>
      </c>
      <c r="J320" t="s">
        <v>156</v>
      </c>
      <c r="K320" t="s">
        <v>156</v>
      </c>
      <c r="L320">
        <v>10.4</v>
      </c>
      <c r="M320" t="s">
        <v>149</v>
      </c>
      <c r="N320">
        <v>4</v>
      </c>
      <c r="O320">
        <v>0.3</v>
      </c>
      <c r="P320">
        <v>2</v>
      </c>
      <c r="Q320">
        <v>1500</v>
      </c>
      <c r="R320">
        <v>0.57656439699999995</v>
      </c>
      <c r="S320" t="s">
        <v>150</v>
      </c>
      <c r="T320">
        <v>13</v>
      </c>
      <c r="U320">
        <v>0</v>
      </c>
      <c r="V320">
        <v>13</v>
      </c>
      <c r="W320">
        <v>0</v>
      </c>
      <c r="X320" t="s">
        <v>149</v>
      </c>
      <c r="Y320" t="s">
        <v>157</v>
      </c>
    </row>
    <row r="321" spans="1:25">
      <c r="A321" t="s">
        <v>501</v>
      </c>
      <c r="B321" s="113">
        <v>44002</v>
      </c>
      <c r="C321" t="s">
        <v>159</v>
      </c>
      <c r="D321" t="s">
        <v>168</v>
      </c>
      <c r="E321">
        <v>54</v>
      </c>
      <c r="F321">
        <v>770</v>
      </c>
      <c r="G321" t="s">
        <v>147</v>
      </c>
      <c r="H321">
        <v>42397.649559999998</v>
      </c>
      <c r="I321">
        <v>42397.649559999998</v>
      </c>
      <c r="J321" t="s">
        <v>148</v>
      </c>
      <c r="K321" t="s">
        <v>148</v>
      </c>
      <c r="L321">
        <v>3.7</v>
      </c>
      <c r="M321" t="s">
        <v>149</v>
      </c>
      <c r="N321">
        <v>2</v>
      </c>
      <c r="O321">
        <v>8.4</v>
      </c>
      <c r="P321">
        <v>4</v>
      </c>
      <c r="Q321">
        <v>1400</v>
      </c>
      <c r="R321">
        <v>0.69937131600000002</v>
      </c>
      <c r="S321" t="s">
        <v>150</v>
      </c>
      <c r="T321">
        <v>14</v>
      </c>
      <c r="U321">
        <v>0</v>
      </c>
      <c r="V321">
        <v>14</v>
      </c>
      <c r="W321">
        <v>0</v>
      </c>
      <c r="X321" t="s">
        <v>151</v>
      </c>
      <c r="Y321" t="s">
        <v>152</v>
      </c>
    </row>
    <row r="322" spans="1:25">
      <c r="A322" t="s">
        <v>502</v>
      </c>
      <c r="B322" s="113">
        <v>44002</v>
      </c>
      <c r="C322" t="s">
        <v>162</v>
      </c>
      <c r="D322" t="s">
        <v>179</v>
      </c>
      <c r="E322">
        <v>62</v>
      </c>
      <c r="F322">
        <v>774</v>
      </c>
      <c r="G322" t="s">
        <v>147</v>
      </c>
      <c r="H322">
        <v>40842.031260000003</v>
      </c>
      <c r="J322" t="s">
        <v>170</v>
      </c>
      <c r="K322" t="s">
        <v>170</v>
      </c>
      <c r="L322">
        <v>3</v>
      </c>
      <c r="M322" t="s">
        <v>149</v>
      </c>
      <c r="N322">
        <v>3</v>
      </c>
      <c r="O322">
        <v>0.1</v>
      </c>
      <c r="P322">
        <v>3</v>
      </c>
      <c r="Q322">
        <v>1400</v>
      </c>
      <c r="R322">
        <v>0.80431249199999999</v>
      </c>
      <c r="S322" t="s">
        <v>150</v>
      </c>
      <c r="T322">
        <v>23</v>
      </c>
      <c r="U322">
        <v>1</v>
      </c>
      <c r="V322">
        <v>23</v>
      </c>
      <c r="W322">
        <v>0</v>
      </c>
      <c r="X322" t="s">
        <v>149</v>
      </c>
      <c r="Y322" t="s">
        <v>157</v>
      </c>
    </row>
    <row r="323" spans="1:25">
      <c r="A323" t="s">
        <v>503</v>
      </c>
      <c r="B323" s="113">
        <v>44004</v>
      </c>
      <c r="C323" t="s">
        <v>159</v>
      </c>
      <c r="D323" t="s">
        <v>168</v>
      </c>
      <c r="E323">
        <v>52</v>
      </c>
      <c r="F323">
        <v>777</v>
      </c>
      <c r="G323" t="s">
        <v>176</v>
      </c>
      <c r="H323">
        <v>20517.762490000001</v>
      </c>
      <c r="I323">
        <v>20517.762490000001</v>
      </c>
      <c r="J323" t="s">
        <v>156</v>
      </c>
      <c r="K323" t="s">
        <v>156</v>
      </c>
      <c r="L323">
        <v>2.8</v>
      </c>
      <c r="M323" t="s">
        <v>149</v>
      </c>
      <c r="N323">
        <v>3</v>
      </c>
      <c r="O323">
        <v>1.2</v>
      </c>
      <c r="P323">
        <v>2</v>
      </c>
      <c r="Q323">
        <v>1100</v>
      </c>
      <c r="R323">
        <v>0.88870715700000003</v>
      </c>
      <c r="S323" t="s">
        <v>150</v>
      </c>
      <c r="T323">
        <v>14</v>
      </c>
      <c r="U323">
        <v>0</v>
      </c>
      <c r="V323">
        <v>14</v>
      </c>
      <c r="W323">
        <v>0</v>
      </c>
      <c r="X323" t="s">
        <v>149</v>
      </c>
      <c r="Y323" t="s">
        <v>157</v>
      </c>
    </row>
    <row r="324" spans="1:25">
      <c r="A324" t="s">
        <v>504</v>
      </c>
      <c r="B324" s="113">
        <v>44005</v>
      </c>
      <c r="C324" t="s">
        <v>145</v>
      </c>
      <c r="D324" t="s">
        <v>213</v>
      </c>
      <c r="E324">
        <v>46</v>
      </c>
      <c r="F324">
        <v>635</v>
      </c>
      <c r="G324" t="s">
        <v>176</v>
      </c>
      <c r="H324">
        <v>52854.88005</v>
      </c>
      <c r="I324">
        <v>52854.88005</v>
      </c>
      <c r="J324" t="s">
        <v>148</v>
      </c>
      <c r="K324" t="s">
        <v>148</v>
      </c>
      <c r="L324">
        <v>2.2000000000000002</v>
      </c>
      <c r="M324" t="s">
        <v>151</v>
      </c>
      <c r="N324">
        <v>1</v>
      </c>
      <c r="O324">
        <v>0.4</v>
      </c>
      <c r="P324">
        <v>2</v>
      </c>
      <c r="Q324">
        <v>800</v>
      </c>
      <c r="R324">
        <v>0.95039941299999997</v>
      </c>
      <c r="S324" t="s">
        <v>150</v>
      </c>
      <c r="T324">
        <v>16</v>
      </c>
      <c r="U324">
        <v>1</v>
      </c>
      <c r="V324">
        <v>16</v>
      </c>
      <c r="W324">
        <v>0</v>
      </c>
      <c r="X324" t="s">
        <v>151</v>
      </c>
      <c r="Y324" t="s">
        <v>152</v>
      </c>
    </row>
    <row r="325" spans="1:25">
      <c r="A325" t="s">
        <v>505</v>
      </c>
      <c r="B325" s="113">
        <v>44007</v>
      </c>
      <c r="C325" t="s">
        <v>162</v>
      </c>
      <c r="D325" t="s">
        <v>163</v>
      </c>
      <c r="E325">
        <v>36</v>
      </c>
      <c r="F325">
        <v>755</v>
      </c>
      <c r="G325" t="s">
        <v>147</v>
      </c>
      <c r="H325">
        <v>33510.698490000002</v>
      </c>
      <c r="J325" t="s">
        <v>148</v>
      </c>
      <c r="K325" t="s">
        <v>148</v>
      </c>
      <c r="L325">
        <v>0.2</v>
      </c>
      <c r="M325" t="s">
        <v>149</v>
      </c>
      <c r="N325">
        <v>4</v>
      </c>
      <c r="O325">
        <v>16.7</v>
      </c>
      <c r="P325">
        <v>3</v>
      </c>
      <c r="Q325">
        <v>1250</v>
      </c>
      <c r="R325">
        <v>0.987813304</v>
      </c>
      <c r="S325" t="s">
        <v>150</v>
      </c>
      <c r="T325">
        <v>22</v>
      </c>
      <c r="U325">
        <v>0</v>
      </c>
      <c r="V325">
        <v>22</v>
      </c>
      <c r="W325">
        <v>0</v>
      </c>
      <c r="X325" t="s">
        <v>149</v>
      </c>
      <c r="Y325" t="s">
        <v>157</v>
      </c>
    </row>
    <row r="326" spans="1:25">
      <c r="A326" t="s">
        <v>506</v>
      </c>
      <c r="B326" s="113">
        <v>44007</v>
      </c>
      <c r="C326" t="s">
        <v>162</v>
      </c>
      <c r="D326" t="s">
        <v>190</v>
      </c>
      <c r="E326">
        <v>34</v>
      </c>
      <c r="F326">
        <v>781</v>
      </c>
      <c r="G326" t="s">
        <v>147</v>
      </c>
      <c r="H326">
        <v>23279.554950000002</v>
      </c>
      <c r="I326">
        <v>23279.554950000002</v>
      </c>
      <c r="J326" t="s">
        <v>148</v>
      </c>
      <c r="K326" t="s">
        <v>148</v>
      </c>
      <c r="L326">
        <v>1.1000000000000001</v>
      </c>
      <c r="M326" t="s">
        <v>149</v>
      </c>
      <c r="N326">
        <v>0</v>
      </c>
      <c r="O326">
        <v>4</v>
      </c>
      <c r="P326">
        <v>3</v>
      </c>
      <c r="Q326">
        <v>1100</v>
      </c>
      <c r="R326">
        <v>0.99999307599999998</v>
      </c>
      <c r="S326" t="s">
        <v>150</v>
      </c>
      <c r="T326">
        <v>11</v>
      </c>
      <c r="U326">
        <v>1</v>
      </c>
      <c r="V326">
        <v>11</v>
      </c>
      <c r="W326">
        <v>0</v>
      </c>
      <c r="X326" t="s">
        <v>151</v>
      </c>
      <c r="Y326" t="s">
        <v>152</v>
      </c>
    </row>
    <row r="327" spans="1:25">
      <c r="A327" t="s">
        <v>507</v>
      </c>
      <c r="B327" s="113">
        <v>44008</v>
      </c>
      <c r="C327" t="s">
        <v>145</v>
      </c>
      <c r="D327" t="s">
        <v>146</v>
      </c>
      <c r="E327">
        <v>31</v>
      </c>
      <c r="F327">
        <v>739</v>
      </c>
      <c r="G327" t="s">
        <v>147</v>
      </c>
      <c r="H327">
        <v>42756.48345</v>
      </c>
      <c r="I327">
        <v>42756.48345</v>
      </c>
      <c r="J327" t="s">
        <v>148</v>
      </c>
      <c r="K327" t="s">
        <v>148</v>
      </c>
      <c r="L327">
        <v>2.4</v>
      </c>
      <c r="M327" t="s">
        <v>149</v>
      </c>
      <c r="N327">
        <v>2</v>
      </c>
      <c r="O327">
        <v>11.1</v>
      </c>
      <c r="P327">
        <v>2</v>
      </c>
      <c r="Q327">
        <v>1100</v>
      </c>
      <c r="R327">
        <v>0.98662759200000005</v>
      </c>
      <c r="S327" t="s">
        <v>150</v>
      </c>
      <c r="T327">
        <v>13</v>
      </c>
      <c r="U327">
        <v>0</v>
      </c>
      <c r="V327">
        <v>13</v>
      </c>
      <c r="W327">
        <v>0</v>
      </c>
      <c r="X327" t="s">
        <v>151</v>
      </c>
      <c r="Y327" t="s">
        <v>152</v>
      </c>
    </row>
    <row r="328" spans="1:25">
      <c r="A328" t="s">
        <v>508</v>
      </c>
      <c r="B328" s="113">
        <v>44012</v>
      </c>
      <c r="C328" t="s">
        <v>159</v>
      </c>
      <c r="D328" t="s">
        <v>160</v>
      </c>
      <c r="E328">
        <v>52</v>
      </c>
      <c r="F328">
        <v>781</v>
      </c>
      <c r="G328" t="s">
        <v>155</v>
      </c>
      <c r="H328">
        <v>37724.651409999999</v>
      </c>
      <c r="I328">
        <v>37724.651409999999</v>
      </c>
      <c r="J328" t="s">
        <v>156</v>
      </c>
      <c r="K328" t="s">
        <v>156</v>
      </c>
      <c r="L328">
        <v>10.1</v>
      </c>
      <c r="M328" t="s">
        <v>149</v>
      </c>
      <c r="N328">
        <v>3</v>
      </c>
      <c r="O328">
        <v>3.3</v>
      </c>
      <c r="P328">
        <v>2</v>
      </c>
      <c r="Q328">
        <v>900</v>
      </c>
      <c r="R328">
        <v>0.94805827899999995</v>
      </c>
      <c r="S328" t="s">
        <v>150</v>
      </c>
      <c r="T328">
        <v>20</v>
      </c>
      <c r="U328">
        <v>0</v>
      </c>
      <c r="V328">
        <v>20</v>
      </c>
      <c r="W328">
        <v>0</v>
      </c>
      <c r="X328" t="s">
        <v>149</v>
      </c>
      <c r="Y328" t="s">
        <v>157</v>
      </c>
    </row>
    <row r="329" spans="1:25">
      <c r="A329" t="s">
        <v>509</v>
      </c>
      <c r="B329" s="113">
        <v>44016</v>
      </c>
      <c r="C329" t="s">
        <v>162</v>
      </c>
      <c r="D329" t="s">
        <v>187</v>
      </c>
      <c r="E329">
        <v>37</v>
      </c>
      <c r="F329">
        <v>544</v>
      </c>
      <c r="G329" t="s">
        <v>147</v>
      </c>
      <c r="H329">
        <v>24885.01426</v>
      </c>
      <c r="I329">
        <v>24885.01426</v>
      </c>
      <c r="J329" t="s">
        <v>148</v>
      </c>
      <c r="K329" t="s">
        <v>148</v>
      </c>
      <c r="L329">
        <v>1</v>
      </c>
      <c r="M329" t="s">
        <v>149</v>
      </c>
      <c r="N329">
        <v>2</v>
      </c>
      <c r="O329">
        <v>2.8</v>
      </c>
      <c r="P329">
        <v>3</v>
      </c>
      <c r="Q329">
        <v>1750</v>
      </c>
      <c r="R329">
        <v>0.88527040499999998</v>
      </c>
      <c r="S329" t="s">
        <v>198</v>
      </c>
      <c r="Y329" t="s">
        <v>199</v>
      </c>
    </row>
    <row r="330" spans="1:25">
      <c r="A330" t="s">
        <v>510</v>
      </c>
      <c r="B330" s="113">
        <v>44021</v>
      </c>
      <c r="C330" t="s">
        <v>162</v>
      </c>
      <c r="D330" t="s">
        <v>187</v>
      </c>
      <c r="E330">
        <v>37</v>
      </c>
      <c r="F330">
        <v>993</v>
      </c>
      <c r="G330" t="s">
        <v>169</v>
      </c>
      <c r="H330">
        <v>61472.04219</v>
      </c>
      <c r="J330" t="s">
        <v>148</v>
      </c>
      <c r="K330" t="s">
        <v>148</v>
      </c>
      <c r="L330">
        <v>6.5</v>
      </c>
      <c r="M330" t="s">
        <v>151</v>
      </c>
      <c r="N330">
        <v>1</v>
      </c>
      <c r="O330">
        <v>3.9</v>
      </c>
      <c r="P330">
        <v>2</v>
      </c>
      <c r="Q330">
        <v>1400</v>
      </c>
      <c r="R330">
        <v>0.79986791599999996</v>
      </c>
      <c r="S330" t="s">
        <v>150</v>
      </c>
      <c r="T330">
        <v>16</v>
      </c>
      <c r="U330">
        <v>0</v>
      </c>
      <c r="V330">
        <v>16</v>
      </c>
      <c r="W330">
        <v>0</v>
      </c>
      <c r="X330" t="s">
        <v>149</v>
      </c>
      <c r="Y330" t="s">
        <v>157</v>
      </c>
    </row>
    <row r="331" spans="1:25">
      <c r="A331" t="s">
        <v>511</v>
      </c>
      <c r="B331" s="113">
        <v>44021</v>
      </c>
      <c r="C331" t="s">
        <v>159</v>
      </c>
      <c r="D331" t="s">
        <v>197</v>
      </c>
      <c r="E331">
        <v>66</v>
      </c>
      <c r="F331">
        <v>698</v>
      </c>
      <c r="G331" t="s">
        <v>155</v>
      </c>
      <c r="H331">
        <v>41539.942539999996</v>
      </c>
      <c r="I331">
        <v>41539.942539999996</v>
      </c>
      <c r="J331" t="s">
        <v>148</v>
      </c>
      <c r="K331" t="s">
        <v>148</v>
      </c>
      <c r="L331">
        <v>4.7</v>
      </c>
      <c r="M331" t="s">
        <v>149</v>
      </c>
      <c r="N331">
        <v>8</v>
      </c>
      <c r="O331">
        <v>8.6999999999999993</v>
      </c>
      <c r="P331">
        <v>2</v>
      </c>
      <c r="Q331">
        <v>1100</v>
      </c>
      <c r="R331">
        <v>0.69403245499999999</v>
      </c>
      <c r="S331" t="s">
        <v>150</v>
      </c>
      <c r="T331">
        <v>17</v>
      </c>
      <c r="U331">
        <v>0</v>
      </c>
      <c r="V331">
        <v>17</v>
      </c>
      <c r="W331">
        <v>0</v>
      </c>
      <c r="X331" t="s">
        <v>149</v>
      </c>
      <c r="Y331" t="s">
        <v>157</v>
      </c>
    </row>
    <row r="332" spans="1:25">
      <c r="A332" t="s">
        <v>512</v>
      </c>
      <c r="B332" s="113">
        <v>44025</v>
      </c>
      <c r="C332" t="s">
        <v>162</v>
      </c>
      <c r="D332" t="s">
        <v>190</v>
      </c>
      <c r="E332">
        <v>51</v>
      </c>
      <c r="F332">
        <v>590</v>
      </c>
      <c r="G332" t="s">
        <v>147</v>
      </c>
      <c r="H332">
        <v>17035.414140000001</v>
      </c>
      <c r="I332">
        <v>17035.414140000001</v>
      </c>
      <c r="J332" t="s">
        <v>170</v>
      </c>
      <c r="K332" t="s">
        <v>170</v>
      </c>
      <c r="L332">
        <v>4.7</v>
      </c>
      <c r="M332" t="s">
        <v>149</v>
      </c>
      <c r="N332">
        <v>2</v>
      </c>
      <c r="O332">
        <v>0.9</v>
      </c>
      <c r="P332">
        <v>2</v>
      </c>
      <c r="Q332">
        <v>1700</v>
      </c>
      <c r="R332">
        <v>0.570467634</v>
      </c>
      <c r="S332" t="s">
        <v>198</v>
      </c>
      <c r="Y332" t="s">
        <v>199</v>
      </c>
    </row>
    <row r="333" spans="1:25">
      <c r="A333" t="s">
        <v>513</v>
      </c>
      <c r="B333" s="113">
        <v>44026</v>
      </c>
      <c r="C333" t="s">
        <v>162</v>
      </c>
      <c r="D333" t="s">
        <v>195</v>
      </c>
      <c r="E333">
        <v>37</v>
      </c>
      <c r="F333">
        <v>737</v>
      </c>
      <c r="G333" t="s">
        <v>147</v>
      </c>
      <c r="H333">
        <v>50569.140480000002</v>
      </c>
      <c r="J333" t="s">
        <v>148</v>
      </c>
      <c r="K333" t="s">
        <v>148</v>
      </c>
      <c r="L333">
        <v>0.1</v>
      </c>
      <c r="M333" t="s">
        <v>149</v>
      </c>
      <c r="N333">
        <v>6</v>
      </c>
      <c r="O333">
        <v>11.6</v>
      </c>
      <c r="P333">
        <v>3</v>
      </c>
      <c r="Q333">
        <v>1000</v>
      </c>
      <c r="R333">
        <v>0.43232997000000001</v>
      </c>
      <c r="S333" t="s">
        <v>150</v>
      </c>
      <c r="T333">
        <v>16</v>
      </c>
      <c r="U333">
        <v>1</v>
      </c>
      <c r="V333">
        <v>16</v>
      </c>
      <c r="W333">
        <v>0</v>
      </c>
      <c r="X333" t="s">
        <v>149</v>
      </c>
      <c r="Y333" t="s">
        <v>157</v>
      </c>
    </row>
    <row r="334" spans="1:25">
      <c r="A334" t="s">
        <v>514</v>
      </c>
      <c r="B334" s="113">
        <v>44028</v>
      </c>
      <c r="C334" t="s">
        <v>162</v>
      </c>
      <c r="D334" t="s">
        <v>190</v>
      </c>
      <c r="E334">
        <v>52</v>
      </c>
      <c r="F334">
        <v>607</v>
      </c>
      <c r="G334" t="s">
        <v>147</v>
      </c>
      <c r="H334">
        <v>28715.579320000001</v>
      </c>
      <c r="I334">
        <v>28715.579320000001</v>
      </c>
      <c r="J334" t="s">
        <v>170</v>
      </c>
      <c r="K334" t="s">
        <v>170</v>
      </c>
      <c r="L334">
        <v>5</v>
      </c>
      <c r="M334" t="s">
        <v>149</v>
      </c>
      <c r="N334">
        <v>3</v>
      </c>
      <c r="O334">
        <v>9.1</v>
      </c>
      <c r="P334">
        <v>2</v>
      </c>
      <c r="Q334">
        <v>1250</v>
      </c>
      <c r="R334">
        <v>0.28314824900000002</v>
      </c>
      <c r="S334" t="s">
        <v>150</v>
      </c>
      <c r="T334">
        <v>17</v>
      </c>
      <c r="U334">
        <v>0</v>
      </c>
      <c r="V334">
        <v>17</v>
      </c>
      <c r="W334">
        <v>0</v>
      </c>
      <c r="X334" t="s">
        <v>149</v>
      </c>
      <c r="Y334" t="s">
        <v>157</v>
      </c>
    </row>
    <row r="335" spans="1:25">
      <c r="A335" t="s">
        <v>515</v>
      </c>
      <c r="B335" s="113">
        <v>44032</v>
      </c>
      <c r="C335" t="s">
        <v>159</v>
      </c>
      <c r="D335" t="s">
        <v>197</v>
      </c>
      <c r="E335">
        <v>31</v>
      </c>
      <c r="F335">
        <v>591</v>
      </c>
      <c r="G335" t="s">
        <v>176</v>
      </c>
      <c r="H335">
        <v>43566.612249999998</v>
      </c>
      <c r="I335">
        <v>43566.612249999998</v>
      </c>
      <c r="J335" t="s">
        <v>148</v>
      </c>
      <c r="K335" t="s">
        <v>166</v>
      </c>
      <c r="L335">
        <v>3.8</v>
      </c>
      <c r="M335" t="s">
        <v>149</v>
      </c>
      <c r="N335">
        <v>2</v>
      </c>
      <c r="O335">
        <v>1.8</v>
      </c>
      <c r="P335">
        <v>1</v>
      </c>
      <c r="Q335">
        <v>800</v>
      </c>
      <c r="R335">
        <v>0.126733384</v>
      </c>
      <c r="S335" t="s">
        <v>150</v>
      </c>
      <c r="T335">
        <v>22</v>
      </c>
      <c r="U335">
        <v>0</v>
      </c>
      <c r="V335">
        <v>22</v>
      </c>
      <c r="W335">
        <v>0</v>
      </c>
      <c r="X335" t="s">
        <v>151</v>
      </c>
      <c r="Y335" t="s">
        <v>152</v>
      </c>
    </row>
    <row r="336" spans="1:25">
      <c r="A336" t="s">
        <v>516</v>
      </c>
      <c r="B336" s="113">
        <v>44032</v>
      </c>
      <c r="C336" t="s">
        <v>159</v>
      </c>
      <c r="D336" t="s">
        <v>160</v>
      </c>
      <c r="E336">
        <v>46</v>
      </c>
      <c r="F336">
        <v>472</v>
      </c>
      <c r="G336" t="s">
        <v>147</v>
      </c>
      <c r="H336">
        <v>38536.682710000001</v>
      </c>
      <c r="I336">
        <v>38536.682710000001</v>
      </c>
      <c r="J336" t="s">
        <v>221</v>
      </c>
      <c r="K336" t="s">
        <v>166</v>
      </c>
      <c r="L336">
        <v>2.2000000000000002</v>
      </c>
      <c r="M336" t="s">
        <v>149</v>
      </c>
      <c r="N336">
        <v>4</v>
      </c>
      <c r="O336">
        <v>1.2</v>
      </c>
      <c r="P336">
        <v>3</v>
      </c>
      <c r="Q336">
        <v>1000</v>
      </c>
      <c r="R336">
        <v>3.2918941E-2</v>
      </c>
      <c r="S336" t="s">
        <v>150</v>
      </c>
      <c r="T336">
        <v>20</v>
      </c>
      <c r="U336">
        <v>1</v>
      </c>
      <c r="V336">
        <v>20</v>
      </c>
      <c r="W336">
        <v>0</v>
      </c>
      <c r="X336" t="s">
        <v>149</v>
      </c>
      <c r="Y336" t="s">
        <v>157</v>
      </c>
    </row>
    <row r="337" spans="1:25">
      <c r="A337" t="s">
        <v>517</v>
      </c>
      <c r="B337" s="113">
        <v>44037</v>
      </c>
      <c r="C337" t="s">
        <v>162</v>
      </c>
      <c r="D337" t="s">
        <v>195</v>
      </c>
      <c r="E337">
        <v>37</v>
      </c>
      <c r="F337">
        <v>811</v>
      </c>
      <c r="G337" t="s">
        <v>147</v>
      </c>
      <c r="H337">
        <v>66070.0432</v>
      </c>
      <c r="I337">
        <v>66070.0432</v>
      </c>
      <c r="J337" t="s">
        <v>170</v>
      </c>
      <c r="K337" t="s">
        <v>170</v>
      </c>
      <c r="L337">
        <v>1</v>
      </c>
      <c r="M337" t="s">
        <v>149</v>
      </c>
      <c r="N337">
        <v>2</v>
      </c>
      <c r="O337">
        <v>0.7</v>
      </c>
      <c r="P337">
        <v>3</v>
      </c>
      <c r="Q337">
        <v>850</v>
      </c>
      <c r="R337">
        <v>0.191730336</v>
      </c>
      <c r="S337" t="s">
        <v>150</v>
      </c>
      <c r="T337">
        <v>21</v>
      </c>
      <c r="U337">
        <v>1</v>
      </c>
      <c r="V337">
        <v>21</v>
      </c>
      <c r="W337">
        <v>0</v>
      </c>
      <c r="X337" t="s">
        <v>149</v>
      </c>
      <c r="Y337" t="s">
        <v>157</v>
      </c>
    </row>
    <row r="338" spans="1:25">
      <c r="A338" t="s">
        <v>518</v>
      </c>
      <c r="B338" s="113">
        <v>44037</v>
      </c>
      <c r="C338" t="s">
        <v>162</v>
      </c>
      <c r="D338" t="s">
        <v>195</v>
      </c>
      <c r="E338">
        <v>60</v>
      </c>
      <c r="F338">
        <v>732</v>
      </c>
      <c r="G338" t="s">
        <v>155</v>
      </c>
      <c r="H338">
        <v>72906.688580000002</v>
      </c>
      <c r="I338">
        <v>72906.688580000002</v>
      </c>
      <c r="J338" t="s">
        <v>148</v>
      </c>
      <c r="K338" t="s">
        <v>148</v>
      </c>
      <c r="L338">
        <v>2</v>
      </c>
      <c r="M338" t="s">
        <v>149</v>
      </c>
      <c r="N338">
        <v>0</v>
      </c>
      <c r="O338">
        <v>3.3</v>
      </c>
      <c r="P338">
        <v>1</v>
      </c>
      <c r="Q338">
        <v>1100</v>
      </c>
      <c r="R338">
        <v>0.345643898</v>
      </c>
      <c r="S338" t="s">
        <v>150</v>
      </c>
      <c r="T338">
        <v>7</v>
      </c>
      <c r="U338">
        <v>0</v>
      </c>
      <c r="V338">
        <v>7</v>
      </c>
      <c r="W338">
        <v>0</v>
      </c>
      <c r="X338" t="s">
        <v>151</v>
      </c>
      <c r="Y338" t="s">
        <v>152</v>
      </c>
    </row>
    <row r="339" spans="1:25">
      <c r="A339" t="s">
        <v>519</v>
      </c>
      <c r="B339" s="113">
        <v>44038</v>
      </c>
      <c r="C339" t="s">
        <v>162</v>
      </c>
      <c r="D339" t="s">
        <v>193</v>
      </c>
      <c r="E339">
        <v>31</v>
      </c>
      <c r="F339">
        <v>769</v>
      </c>
      <c r="G339" t="s">
        <v>155</v>
      </c>
      <c r="H339">
        <v>8951.3619660000004</v>
      </c>
      <c r="I339">
        <v>8951.3619660000004</v>
      </c>
      <c r="J339" t="s">
        <v>156</v>
      </c>
      <c r="K339" t="s">
        <v>156</v>
      </c>
      <c r="L339">
        <v>4.4000000000000004</v>
      </c>
      <c r="M339" t="s">
        <v>151</v>
      </c>
      <c r="N339">
        <v>1</v>
      </c>
      <c r="O339">
        <v>3.6</v>
      </c>
      <c r="P339">
        <v>1</v>
      </c>
      <c r="Q339">
        <v>1450</v>
      </c>
      <c r="R339">
        <v>0.49072783599999997</v>
      </c>
      <c r="S339" t="s">
        <v>198</v>
      </c>
      <c r="Y339" t="s">
        <v>199</v>
      </c>
    </row>
    <row r="340" spans="1:25">
      <c r="A340" t="s">
        <v>520</v>
      </c>
      <c r="B340" s="113">
        <v>44040</v>
      </c>
      <c r="C340" t="s">
        <v>145</v>
      </c>
      <c r="D340" t="s">
        <v>154</v>
      </c>
      <c r="E340">
        <v>39</v>
      </c>
      <c r="F340">
        <v>514</v>
      </c>
      <c r="G340" t="s">
        <v>155</v>
      </c>
      <c r="H340">
        <v>40769.304409999997</v>
      </c>
      <c r="J340" t="s">
        <v>156</v>
      </c>
      <c r="K340" t="s">
        <v>156</v>
      </c>
      <c r="L340">
        <v>2.8</v>
      </c>
      <c r="M340" t="s">
        <v>149</v>
      </c>
      <c r="N340">
        <v>4</v>
      </c>
      <c r="O340">
        <v>14.4</v>
      </c>
      <c r="P340">
        <v>4</v>
      </c>
      <c r="Q340">
        <v>1500</v>
      </c>
      <c r="R340">
        <v>0.62327591900000001</v>
      </c>
      <c r="S340" t="s">
        <v>150</v>
      </c>
      <c r="T340">
        <v>14</v>
      </c>
      <c r="U340">
        <v>0</v>
      </c>
      <c r="V340">
        <v>14</v>
      </c>
      <c r="W340">
        <v>0</v>
      </c>
      <c r="X340" t="s">
        <v>149</v>
      </c>
      <c r="Y340" t="s">
        <v>157</v>
      </c>
    </row>
    <row r="341" spans="1:25">
      <c r="A341" t="s">
        <v>521</v>
      </c>
      <c r="B341" s="113">
        <v>44042</v>
      </c>
      <c r="C341" t="s">
        <v>159</v>
      </c>
      <c r="D341" t="s">
        <v>197</v>
      </c>
      <c r="E341">
        <v>64</v>
      </c>
      <c r="F341">
        <v>688</v>
      </c>
      <c r="G341" t="s">
        <v>147</v>
      </c>
      <c r="H341">
        <v>105539.40429999999</v>
      </c>
      <c r="I341">
        <v>105539.40429999999</v>
      </c>
      <c r="J341" t="s">
        <v>156</v>
      </c>
      <c r="K341" t="s">
        <v>156</v>
      </c>
      <c r="L341">
        <v>15.2</v>
      </c>
      <c r="M341" t="s">
        <v>149</v>
      </c>
      <c r="N341">
        <v>4</v>
      </c>
      <c r="O341">
        <v>0.4</v>
      </c>
      <c r="P341">
        <v>3</v>
      </c>
      <c r="Q341">
        <v>1600</v>
      </c>
      <c r="R341">
        <v>0.73990214799999998</v>
      </c>
      <c r="S341" t="s">
        <v>150</v>
      </c>
      <c r="T341">
        <v>16</v>
      </c>
      <c r="U341">
        <v>1</v>
      </c>
      <c r="V341">
        <v>16</v>
      </c>
      <c r="W341">
        <v>0</v>
      </c>
      <c r="X341" t="s">
        <v>149</v>
      </c>
      <c r="Y341" t="s">
        <v>157</v>
      </c>
    </row>
    <row r="342" spans="1:25">
      <c r="A342" t="s">
        <v>522</v>
      </c>
      <c r="B342" s="113">
        <v>44047</v>
      </c>
      <c r="C342" t="s">
        <v>145</v>
      </c>
      <c r="D342" t="s">
        <v>213</v>
      </c>
      <c r="E342">
        <v>35</v>
      </c>
      <c r="F342">
        <v>798</v>
      </c>
      <c r="G342" t="s">
        <v>155</v>
      </c>
      <c r="H342">
        <v>11318.001910000001</v>
      </c>
      <c r="I342">
        <v>11318.001910000001</v>
      </c>
      <c r="J342" t="s">
        <v>156</v>
      </c>
      <c r="K342" t="s">
        <v>156</v>
      </c>
      <c r="L342">
        <v>0.5</v>
      </c>
      <c r="M342" t="s">
        <v>149</v>
      </c>
      <c r="N342">
        <v>2</v>
      </c>
      <c r="O342">
        <v>10.4</v>
      </c>
      <c r="P342">
        <v>3</v>
      </c>
      <c r="Q342">
        <v>1300</v>
      </c>
      <c r="R342">
        <v>0.83762725699999996</v>
      </c>
      <c r="S342" t="s">
        <v>198</v>
      </c>
      <c r="Y342" t="s">
        <v>199</v>
      </c>
    </row>
    <row r="343" spans="1:25">
      <c r="A343" t="s">
        <v>523</v>
      </c>
      <c r="B343" s="113">
        <v>44048</v>
      </c>
      <c r="C343" t="s">
        <v>159</v>
      </c>
      <c r="D343" t="s">
        <v>165</v>
      </c>
      <c r="E343">
        <v>44</v>
      </c>
      <c r="F343">
        <v>694</v>
      </c>
      <c r="G343" t="s">
        <v>147</v>
      </c>
      <c r="H343">
        <v>43072.55719</v>
      </c>
      <c r="I343">
        <v>43072.55719</v>
      </c>
      <c r="J343" t="s">
        <v>183</v>
      </c>
      <c r="K343" t="s">
        <v>183</v>
      </c>
      <c r="L343">
        <v>1.2</v>
      </c>
      <c r="M343" t="s">
        <v>149</v>
      </c>
      <c r="N343">
        <v>6</v>
      </c>
      <c r="O343">
        <v>1.9</v>
      </c>
      <c r="P343">
        <v>2</v>
      </c>
      <c r="Q343">
        <v>1500</v>
      </c>
      <c r="R343">
        <v>0.91395481499999998</v>
      </c>
      <c r="S343" t="s">
        <v>150</v>
      </c>
      <c r="T343">
        <v>18</v>
      </c>
      <c r="U343">
        <v>0</v>
      </c>
      <c r="V343">
        <v>18</v>
      </c>
      <c r="W343">
        <v>0</v>
      </c>
      <c r="X343" t="s">
        <v>149</v>
      </c>
      <c r="Y343" t="s">
        <v>157</v>
      </c>
    </row>
    <row r="344" spans="1:25">
      <c r="A344" t="s">
        <v>524</v>
      </c>
      <c r="B344" s="113">
        <v>44051</v>
      </c>
      <c r="C344" t="s">
        <v>162</v>
      </c>
      <c r="D344" t="s">
        <v>179</v>
      </c>
      <c r="E344">
        <v>37</v>
      </c>
      <c r="F344">
        <v>578</v>
      </c>
      <c r="G344" t="s">
        <v>169</v>
      </c>
      <c r="H344">
        <v>81521.510490000001</v>
      </c>
      <c r="I344">
        <v>81521.510490000001</v>
      </c>
      <c r="J344" t="s">
        <v>221</v>
      </c>
      <c r="K344" t="s">
        <v>221</v>
      </c>
      <c r="L344">
        <v>1.2</v>
      </c>
      <c r="M344" t="s">
        <v>149</v>
      </c>
      <c r="N344">
        <v>0</v>
      </c>
      <c r="O344">
        <v>1.6</v>
      </c>
      <c r="P344">
        <v>3</v>
      </c>
      <c r="Q344">
        <v>850</v>
      </c>
      <c r="R344">
        <v>0.96693499999999999</v>
      </c>
      <c r="S344" t="s">
        <v>150</v>
      </c>
      <c r="T344">
        <v>13</v>
      </c>
      <c r="U344">
        <v>0</v>
      </c>
      <c r="V344">
        <v>13</v>
      </c>
      <c r="W344">
        <v>0</v>
      </c>
      <c r="X344" t="s">
        <v>149</v>
      </c>
      <c r="Y344" t="s">
        <v>157</v>
      </c>
    </row>
    <row r="345" spans="1:25">
      <c r="A345" t="s">
        <v>525</v>
      </c>
      <c r="B345" s="113">
        <v>44052</v>
      </c>
      <c r="C345" t="s">
        <v>145</v>
      </c>
      <c r="D345" t="s">
        <v>146</v>
      </c>
      <c r="E345">
        <v>34</v>
      </c>
      <c r="F345">
        <v>832</v>
      </c>
      <c r="G345" t="s">
        <v>147</v>
      </c>
      <c r="H345">
        <v>31854.886009999998</v>
      </c>
      <c r="J345" t="s">
        <v>156</v>
      </c>
      <c r="K345" t="s">
        <v>156</v>
      </c>
      <c r="L345">
        <v>1</v>
      </c>
      <c r="M345" t="s">
        <v>149</v>
      </c>
      <c r="N345">
        <v>3</v>
      </c>
      <c r="O345">
        <v>0.7</v>
      </c>
      <c r="P345">
        <v>4</v>
      </c>
      <c r="Q345">
        <v>800</v>
      </c>
      <c r="R345">
        <v>0.99521441300000002</v>
      </c>
      <c r="S345" t="s">
        <v>150</v>
      </c>
      <c r="T345">
        <v>18</v>
      </c>
      <c r="U345">
        <v>0</v>
      </c>
      <c r="V345">
        <v>18</v>
      </c>
      <c r="W345">
        <v>0</v>
      </c>
      <c r="X345" t="s">
        <v>149</v>
      </c>
      <c r="Y345" t="s">
        <v>157</v>
      </c>
    </row>
    <row r="346" spans="1:25">
      <c r="A346" t="s">
        <v>526</v>
      </c>
      <c r="B346" s="113">
        <v>44052</v>
      </c>
      <c r="C346" t="s">
        <v>145</v>
      </c>
      <c r="D346" t="s">
        <v>213</v>
      </c>
      <c r="E346">
        <v>30</v>
      </c>
      <c r="F346">
        <v>760</v>
      </c>
      <c r="G346" t="s">
        <v>147</v>
      </c>
      <c r="H346">
        <v>64614.688110000003</v>
      </c>
      <c r="I346">
        <v>64614.688110000003</v>
      </c>
      <c r="J346" t="s">
        <v>527</v>
      </c>
      <c r="K346" t="s">
        <v>148</v>
      </c>
      <c r="L346">
        <v>0.1</v>
      </c>
      <c r="M346" t="s">
        <v>149</v>
      </c>
      <c r="N346">
        <v>3</v>
      </c>
      <c r="O346">
        <v>8.9</v>
      </c>
      <c r="P346">
        <v>2</v>
      </c>
      <c r="Q346">
        <v>1250</v>
      </c>
      <c r="R346">
        <v>0.99807064199999995</v>
      </c>
      <c r="S346" t="s">
        <v>150</v>
      </c>
      <c r="T346">
        <v>14</v>
      </c>
      <c r="U346">
        <v>0</v>
      </c>
      <c r="V346">
        <v>14</v>
      </c>
      <c r="W346">
        <v>0</v>
      </c>
      <c r="X346" t="s">
        <v>151</v>
      </c>
      <c r="Y346" t="s">
        <v>152</v>
      </c>
    </row>
    <row r="347" spans="1:25">
      <c r="A347" t="s">
        <v>528</v>
      </c>
      <c r="B347" s="113">
        <v>44056</v>
      </c>
      <c r="C347" t="s">
        <v>159</v>
      </c>
      <c r="D347" t="s">
        <v>160</v>
      </c>
      <c r="E347">
        <v>34</v>
      </c>
      <c r="F347">
        <v>700</v>
      </c>
      <c r="G347" t="s">
        <v>147</v>
      </c>
      <c r="H347">
        <v>40711.097399999999</v>
      </c>
      <c r="I347">
        <v>40711.097399999999</v>
      </c>
      <c r="J347" t="s">
        <v>148</v>
      </c>
      <c r="K347" t="s">
        <v>148</v>
      </c>
      <c r="L347">
        <v>24.7</v>
      </c>
      <c r="M347" t="s">
        <v>149</v>
      </c>
      <c r="N347">
        <v>6</v>
      </c>
      <c r="O347">
        <v>3.8</v>
      </c>
      <c r="P347">
        <v>4</v>
      </c>
      <c r="Q347">
        <v>1100</v>
      </c>
      <c r="R347">
        <v>0.97543072399999997</v>
      </c>
      <c r="S347" t="s">
        <v>150</v>
      </c>
      <c r="T347">
        <v>21</v>
      </c>
      <c r="U347">
        <v>0</v>
      </c>
      <c r="V347">
        <v>21</v>
      </c>
      <c r="W347">
        <v>0</v>
      </c>
      <c r="X347" t="s">
        <v>149</v>
      </c>
      <c r="Y347" t="s">
        <v>157</v>
      </c>
    </row>
    <row r="348" spans="1:25">
      <c r="A348" t="s">
        <v>529</v>
      </c>
      <c r="B348" s="113">
        <v>44058</v>
      </c>
      <c r="C348" t="s">
        <v>162</v>
      </c>
      <c r="D348" t="s">
        <v>163</v>
      </c>
      <c r="E348">
        <v>52</v>
      </c>
      <c r="F348">
        <v>718</v>
      </c>
      <c r="G348" t="s">
        <v>176</v>
      </c>
      <c r="H348">
        <v>59647.435729999997</v>
      </c>
      <c r="J348" t="s">
        <v>156</v>
      </c>
      <c r="K348" t="s">
        <v>156</v>
      </c>
      <c r="L348">
        <v>8.5</v>
      </c>
      <c r="M348" t="s">
        <v>149</v>
      </c>
      <c r="N348">
        <v>4</v>
      </c>
      <c r="O348">
        <v>18.600000000000001</v>
      </c>
      <c r="P348">
        <v>1</v>
      </c>
      <c r="Q348">
        <v>800</v>
      </c>
      <c r="R348">
        <v>0.92787300500000003</v>
      </c>
      <c r="S348" t="s">
        <v>150</v>
      </c>
      <c r="T348">
        <v>16</v>
      </c>
      <c r="U348">
        <v>0</v>
      </c>
      <c r="V348">
        <v>16</v>
      </c>
      <c r="W348">
        <v>0</v>
      </c>
      <c r="X348" t="s">
        <v>149</v>
      </c>
      <c r="Y348" t="s">
        <v>157</v>
      </c>
    </row>
    <row r="349" spans="1:25">
      <c r="A349" t="s">
        <v>530</v>
      </c>
      <c r="B349" s="113">
        <v>44058</v>
      </c>
      <c r="C349" t="s">
        <v>162</v>
      </c>
      <c r="D349" t="s">
        <v>179</v>
      </c>
      <c r="E349">
        <v>54</v>
      </c>
      <c r="F349">
        <v>604</v>
      </c>
      <c r="G349" t="s">
        <v>176</v>
      </c>
      <c r="H349">
        <v>35764.081319999998</v>
      </c>
      <c r="I349">
        <v>35764.081319999998</v>
      </c>
      <c r="J349" t="s">
        <v>148</v>
      </c>
      <c r="K349" t="s">
        <v>148</v>
      </c>
      <c r="L349">
        <v>0.4</v>
      </c>
      <c r="M349" t="s">
        <v>149</v>
      </c>
      <c r="N349">
        <v>4</v>
      </c>
      <c r="O349">
        <v>4.3</v>
      </c>
      <c r="P349">
        <v>1</v>
      </c>
      <c r="Q349">
        <v>1050</v>
      </c>
      <c r="R349">
        <v>0.85661236900000004</v>
      </c>
      <c r="S349" t="s">
        <v>150</v>
      </c>
      <c r="T349">
        <v>22</v>
      </c>
      <c r="U349">
        <v>1</v>
      </c>
      <c r="V349">
        <v>22</v>
      </c>
      <c r="W349">
        <v>0</v>
      </c>
      <c r="X349" t="s">
        <v>149</v>
      </c>
      <c r="Y349" t="s">
        <v>157</v>
      </c>
    </row>
    <row r="350" spans="1:25">
      <c r="A350" t="s">
        <v>531</v>
      </c>
      <c r="B350" s="113">
        <v>44062</v>
      </c>
      <c r="C350" t="s">
        <v>162</v>
      </c>
      <c r="D350" t="s">
        <v>190</v>
      </c>
      <c r="E350">
        <v>37</v>
      </c>
      <c r="F350">
        <v>683</v>
      </c>
      <c r="G350" t="s">
        <v>147</v>
      </c>
      <c r="H350">
        <v>69133.058210000003</v>
      </c>
      <c r="I350">
        <v>69133.058210000003</v>
      </c>
      <c r="J350" t="s">
        <v>221</v>
      </c>
      <c r="K350" t="s">
        <v>221</v>
      </c>
      <c r="L350">
        <v>4.2</v>
      </c>
      <c r="M350" t="s">
        <v>149</v>
      </c>
      <c r="N350">
        <v>5</v>
      </c>
      <c r="O350">
        <v>1.9</v>
      </c>
      <c r="P350">
        <v>1</v>
      </c>
      <c r="Q350">
        <v>850</v>
      </c>
      <c r="R350">
        <v>0.76346919800000002</v>
      </c>
      <c r="S350" t="s">
        <v>150</v>
      </c>
      <c r="T350">
        <v>18</v>
      </c>
      <c r="U350">
        <v>1</v>
      </c>
      <c r="V350">
        <v>18</v>
      </c>
      <c r="W350">
        <v>0</v>
      </c>
      <c r="X350" t="s">
        <v>149</v>
      </c>
      <c r="Y350" t="s">
        <v>157</v>
      </c>
    </row>
    <row r="351" spans="1:25">
      <c r="A351" t="s">
        <v>532</v>
      </c>
      <c r="B351" s="113">
        <v>44069</v>
      </c>
      <c r="C351" t="s">
        <v>159</v>
      </c>
      <c r="D351" t="s">
        <v>209</v>
      </c>
      <c r="E351">
        <v>52</v>
      </c>
      <c r="F351">
        <v>729</v>
      </c>
      <c r="G351" t="s">
        <v>155</v>
      </c>
      <c r="H351">
        <v>33887.766360000001</v>
      </c>
      <c r="I351">
        <v>33887.766360000001</v>
      </c>
      <c r="J351" t="s">
        <v>148</v>
      </c>
      <c r="K351" t="s">
        <v>148</v>
      </c>
      <c r="L351">
        <v>1.1000000000000001</v>
      </c>
      <c r="M351" t="s">
        <v>149</v>
      </c>
      <c r="N351">
        <v>3</v>
      </c>
      <c r="O351">
        <v>10.9</v>
      </c>
      <c r="P351">
        <v>4</v>
      </c>
      <c r="Q351">
        <v>800</v>
      </c>
      <c r="R351">
        <v>0.65082287599999999</v>
      </c>
      <c r="S351" t="s">
        <v>150</v>
      </c>
      <c r="T351">
        <v>22</v>
      </c>
      <c r="U351">
        <v>1</v>
      </c>
      <c r="V351">
        <v>22</v>
      </c>
      <c r="W351">
        <v>0</v>
      </c>
      <c r="X351" t="s">
        <v>149</v>
      </c>
      <c r="Y351" t="s">
        <v>157</v>
      </c>
    </row>
    <row r="352" spans="1:25">
      <c r="A352" t="s">
        <v>533</v>
      </c>
      <c r="B352" s="113">
        <v>44070</v>
      </c>
      <c r="C352" t="s">
        <v>159</v>
      </c>
      <c r="D352" t="s">
        <v>209</v>
      </c>
      <c r="E352">
        <v>51</v>
      </c>
      <c r="F352">
        <v>736</v>
      </c>
      <c r="G352" t="s">
        <v>155</v>
      </c>
      <c r="H352">
        <v>32061.649659999999</v>
      </c>
      <c r="I352">
        <v>32061.649659999999</v>
      </c>
      <c r="J352" t="s">
        <v>183</v>
      </c>
      <c r="K352" t="s">
        <v>166</v>
      </c>
      <c r="L352">
        <v>2.9</v>
      </c>
      <c r="M352" t="s">
        <v>149</v>
      </c>
      <c r="N352">
        <v>3</v>
      </c>
      <c r="O352">
        <v>2.4</v>
      </c>
      <c r="P352">
        <v>2</v>
      </c>
      <c r="Q352">
        <v>1600</v>
      </c>
      <c r="R352">
        <v>0.52155100200000004</v>
      </c>
      <c r="S352" t="s">
        <v>150</v>
      </c>
      <c r="T352">
        <v>20</v>
      </c>
      <c r="U352">
        <v>0</v>
      </c>
      <c r="V352">
        <v>20</v>
      </c>
      <c r="W352">
        <v>0</v>
      </c>
      <c r="X352" t="s">
        <v>149</v>
      </c>
      <c r="Y352" t="s">
        <v>157</v>
      </c>
    </row>
    <row r="353" spans="1:25">
      <c r="A353" t="s">
        <v>534</v>
      </c>
      <c r="B353" s="113">
        <v>44070</v>
      </c>
      <c r="C353" t="s">
        <v>159</v>
      </c>
      <c r="D353" t="s">
        <v>160</v>
      </c>
      <c r="E353">
        <v>44</v>
      </c>
      <c r="F353">
        <v>681</v>
      </c>
      <c r="G353" t="s">
        <v>176</v>
      </c>
      <c r="H353">
        <v>62901.885130000002</v>
      </c>
      <c r="I353">
        <v>62901.885130000002</v>
      </c>
      <c r="J353" t="s">
        <v>148</v>
      </c>
      <c r="K353" t="s">
        <v>148</v>
      </c>
      <c r="L353">
        <v>1.1000000000000001</v>
      </c>
      <c r="M353" t="s">
        <v>149</v>
      </c>
      <c r="N353">
        <v>5</v>
      </c>
      <c r="O353">
        <v>0.1</v>
      </c>
      <c r="P353">
        <v>4</v>
      </c>
      <c r="Q353">
        <v>1550</v>
      </c>
      <c r="R353">
        <v>0.37895588200000002</v>
      </c>
      <c r="S353" t="s">
        <v>150</v>
      </c>
      <c r="T353">
        <v>7</v>
      </c>
      <c r="U353">
        <v>0</v>
      </c>
      <c r="V353">
        <v>7</v>
      </c>
      <c r="W353">
        <v>0</v>
      </c>
      <c r="X353" t="s">
        <v>151</v>
      </c>
      <c r="Y353" t="s">
        <v>152</v>
      </c>
    </row>
    <row r="354" spans="1:25">
      <c r="A354" t="s">
        <v>535</v>
      </c>
      <c r="B354" s="113">
        <v>44072</v>
      </c>
      <c r="C354" t="s">
        <v>159</v>
      </c>
      <c r="D354" t="s">
        <v>165</v>
      </c>
      <c r="E354">
        <v>42</v>
      </c>
      <c r="F354">
        <v>571</v>
      </c>
      <c r="G354" t="s">
        <v>169</v>
      </c>
      <c r="H354">
        <v>22206.837350000002</v>
      </c>
      <c r="I354">
        <v>22206.837350000002</v>
      </c>
      <c r="J354" t="s">
        <v>148</v>
      </c>
      <c r="K354" t="s">
        <v>148</v>
      </c>
      <c r="L354">
        <v>1.5</v>
      </c>
      <c r="M354" t="s">
        <v>149</v>
      </c>
      <c r="N354">
        <v>3</v>
      </c>
      <c r="O354">
        <v>6.8</v>
      </c>
      <c r="P354">
        <v>4</v>
      </c>
      <c r="Q354">
        <v>1900</v>
      </c>
      <c r="R354">
        <v>0.22668016899999999</v>
      </c>
      <c r="S354" t="s">
        <v>198</v>
      </c>
      <c r="Y354" t="s">
        <v>199</v>
      </c>
    </row>
    <row r="355" spans="1:25">
      <c r="A355" t="s">
        <v>536</v>
      </c>
      <c r="B355" s="113">
        <v>44073</v>
      </c>
      <c r="C355" t="s">
        <v>162</v>
      </c>
      <c r="D355" t="s">
        <v>193</v>
      </c>
      <c r="E355">
        <v>26</v>
      </c>
      <c r="F355">
        <v>726</v>
      </c>
      <c r="G355" t="s">
        <v>147</v>
      </c>
      <c r="H355">
        <v>63945.147169999997</v>
      </c>
      <c r="I355">
        <v>63945.147169999997</v>
      </c>
      <c r="J355" t="s">
        <v>148</v>
      </c>
      <c r="K355" t="s">
        <v>148</v>
      </c>
      <c r="L355">
        <v>2</v>
      </c>
      <c r="M355" t="s">
        <v>149</v>
      </c>
      <c r="N355">
        <v>8</v>
      </c>
      <c r="O355">
        <v>3.1</v>
      </c>
      <c r="P355">
        <v>2</v>
      </c>
      <c r="Q355">
        <v>800</v>
      </c>
      <c r="R355">
        <v>6.8613812999999996E-2</v>
      </c>
      <c r="S355" t="s">
        <v>150</v>
      </c>
      <c r="T355">
        <v>22</v>
      </c>
      <c r="U355">
        <v>0</v>
      </c>
      <c r="V355">
        <v>22</v>
      </c>
      <c r="W355">
        <v>0</v>
      </c>
      <c r="X355" t="s">
        <v>149</v>
      </c>
      <c r="Y355" t="s">
        <v>157</v>
      </c>
    </row>
    <row r="356" spans="1:25">
      <c r="A356" t="s">
        <v>537</v>
      </c>
      <c r="B356" s="113">
        <v>44074</v>
      </c>
      <c r="C356" t="s">
        <v>162</v>
      </c>
      <c r="D356" t="s">
        <v>163</v>
      </c>
      <c r="E356">
        <v>53</v>
      </c>
      <c r="F356">
        <v>697</v>
      </c>
      <c r="G356" t="s">
        <v>147</v>
      </c>
      <c r="H356">
        <v>50069.29954</v>
      </c>
      <c r="I356">
        <v>50069.29954</v>
      </c>
      <c r="J356" t="s">
        <v>148</v>
      </c>
      <c r="K356" t="s">
        <v>148</v>
      </c>
      <c r="L356">
        <v>5.2</v>
      </c>
      <c r="M356" t="s">
        <v>149</v>
      </c>
      <c r="N356">
        <v>2</v>
      </c>
      <c r="O356">
        <v>12.8</v>
      </c>
      <c r="P356">
        <v>3</v>
      </c>
      <c r="Q356">
        <v>1200</v>
      </c>
      <c r="R356">
        <v>9.1205312999999996E-2</v>
      </c>
      <c r="S356" t="s">
        <v>150</v>
      </c>
      <c r="T356">
        <v>20</v>
      </c>
      <c r="U356">
        <v>1</v>
      </c>
      <c r="V356">
        <v>20</v>
      </c>
      <c r="W356">
        <v>0</v>
      </c>
      <c r="X356" t="s">
        <v>149</v>
      </c>
      <c r="Y356" t="s">
        <v>157</v>
      </c>
    </row>
    <row r="357" spans="1:25">
      <c r="A357" t="s">
        <v>538</v>
      </c>
      <c r="B357" s="113">
        <v>44076</v>
      </c>
      <c r="C357" t="s">
        <v>162</v>
      </c>
      <c r="D357" t="s">
        <v>190</v>
      </c>
      <c r="E357">
        <v>31</v>
      </c>
      <c r="F357">
        <v>685</v>
      </c>
      <c r="G357" t="s">
        <v>169</v>
      </c>
      <c r="H357">
        <v>88137.358850000004</v>
      </c>
      <c r="J357" t="s">
        <v>148</v>
      </c>
      <c r="K357" t="s">
        <v>148</v>
      </c>
      <c r="L357">
        <v>0.9</v>
      </c>
      <c r="M357" t="s">
        <v>149</v>
      </c>
      <c r="N357">
        <v>4</v>
      </c>
      <c r="O357">
        <v>2.1</v>
      </c>
      <c r="P357">
        <v>3</v>
      </c>
      <c r="Q357">
        <v>1650</v>
      </c>
      <c r="R357">
        <v>0.24869455900000001</v>
      </c>
      <c r="S357" t="s">
        <v>150</v>
      </c>
      <c r="T357">
        <v>20</v>
      </c>
      <c r="U357">
        <v>0</v>
      </c>
      <c r="V357">
        <v>20</v>
      </c>
      <c r="W357">
        <v>0</v>
      </c>
      <c r="X357" t="s">
        <v>151</v>
      </c>
      <c r="Y357" t="s">
        <v>152</v>
      </c>
    </row>
    <row r="358" spans="1:25">
      <c r="A358" t="s">
        <v>539</v>
      </c>
      <c r="B358" s="113">
        <v>44076</v>
      </c>
      <c r="C358" t="s">
        <v>162</v>
      </c>
      <c r="D358" t="s">
        <v>195</v>
      </c>
      <c r="E358">
        <v>44</v>
      </c>
      <c r="F358">
        <v>791</v>
      </c>
      <c r="G358" t="s">
        <v>147</v>
      </c>
      <c r="H358">
        <v>69917.673049999998</v>
      </c>
      <c r="I358">
        <v>69917.673049999998</v>
      </c>
      <c r="J358" t="s">
        <v>156</v>
      </c>
      <c r="K358" t="s">
        <v>156</v>
      </c>
      <c r="L358">
        <v>0.3</v>
      </c>
      <c r="M358" t="s">
        <v>149</v>
      </c>
      <c r="N358">
        <v>3</v>
      </c>
      <c r="O358">
        <v>9.5</v>
      </c>
      <c r="P358">
        <v>3</v>
      </c>
      <c r="Q358">
        <v>1600</v>
      </c>
      <c r="R358">
        <v>0.39983079500000002</v>
      </c>
      <c r="S358" t="s">
        <v>150</v>
      </c>
      <c r="T358">
        <v>18</v>
      </c>
      <c r="U358">
        <v>0</v>
      </c>
      <c r="V358">
        <v>18</v>
      </c>
      <c r="W358">
        <v>1</v>
      </c>
      <c r="X358" t="s">
        <v>149</v>
      </c>
      <c r="Y358" t="s">
        <v>157</v>
      </c>
    </row>
    <row r="359" spans="1:25">
      <c r="A359" t="s">
        <v>540</v>
      </c>
      <c r="B359" s="113">
        <v>44077</v>
      </c>
      <c r="C359" t="s">
        <v>162</v>
      </c>
      <c r="D359" t="s">
        <v>193</v>
      </c>
      <c r="E359">
        <v>65</v>
      </c>
      <c r="F359">
        <v>710</v>
      </c>
      <c r="G359" t="s">
        <v>155</v>
      </c>
      <c r="H359">
        <v>28630.90223</v>
      </c>
      <c r="I359">
        <v>28630.90223</v>
      </c>
      <c r="J359" t="s">
        <v>148</v>
      </c>
      <c r="K359" t="s">
        <v>148</v>
      </c>
      <c r="L359">
        <v>2.2000000000000002</v>
      </c>
      <c r="M359" t="s">
        <v>149</v>
      </c>
      <c r="N359">
        <v>6</v>
      </c>
      <c r="O359">
        <v>2.7</v>
      </c>
      <c r="P359">
        <v>2</v>
      </c>
      <c r="Q359">
        <v>1300</v>
      </c>
      <c r="R359">
        <v>0.54075318000000006</v>
      </c>
      <c r="S359" t="s">
        <v>150</v>
      </c>
      <c r="T359">
        <v>7</v>
      </c>
      <c r="U359">
        <v>0</v>
      </c>
      <c r="V359">
        <v>7</v>
      </c>
      <c r="W359">
        <v>0</v>
      </c>
      <c r="X359" t="s">
        <v>151</v>
      </c>
      <c r="Y359" t="s">
        <v>152</v>
      </c>
    </row>
    <row r="360" spans="1:25">
      <c r="A360" t="s">
        <v>541</v>
      </c>
      <c r="B360" s="113">
        <v>44083</v>
      </c>
      <c r="C360" t="s">
        <v>145</v>
      </c>
      <c r="D360" t="s">
        <v>213</v>
      </c>
      <c r="E360">
        <v>38</v>
      </c>
      <c r="F360">
        <v>763</v>
      </c>
      <c r="G360" t="s">
        <v>169</v>
      </c>
      <c r="H360">
        <v>6807811</v>
      </c>
      <c r="I360">
        <v>6807811</v>
      </c>
      <c r="J360" t="s">
        <v>249</v>
      </c>
      <c r="K360" t="s">
        <v>249</v>
      </c>
      <c r="L360">
        <v>12</v>
      </c>
      <c r="M360" t="s">
        <v>149</v>
      </c>
      <c r="N360">
        <v>3</v>
      </c>
      <c r="O360">
        <v>1.7</v>
      </c>
      <c r="P360">
        <v>3</v>
      </c>
      <c r="Q360">
        <v>0</v>
      </c>
      <c r="R360">
        <v>0.66786179099999998</v>
      </c>
      <c r="S360" t="s">
        <v>198</v>
      </c>
      <c r="T360">
        <v>0</v>
      </c>
      <c r="U360">
        <v>0</v>
      </c>
      <c r="V360">
        <v>0</v>
      </c>
      <c r="W360">
        <v>0</v>
      </c>
      <c r="Y360" t="s">
        <v>199</v>
      </c>
    </row>
    <row r="361" spans="1:25">
      <c r="A361" t="s">
        <v>542</v>
      </c>
      <c r="B361" s="113">
        <v>44087</v>
      </c>
      <c r="C361" t="s">
        <v>145</v>
      </c>
      <c r="D361" t="s">
        <v>154</v>
      </c>
      <c r="E361">
        <v>58</v>
      </c>
      <c r="F361">
        <v>832</v>
      </c>
      <c r="G361" t="s">
        <v>176</v>
      </c>
      <c r="H361">
        <v>24809.020420000001</v>
      </c>
      <c r="I361">
        <v>24809.020420000001</v>
      </c>
      <c r="J361" t="s">
        <v>156</v>
      </c>
      <c r="K361" t="s">
        <v>156</v>
      </c>
      <c r="L361">
        <v>3.1</v>
      </c>
      <c r="M361" t="s">
        <v>149</v>
      </c>
      <c r="N361">
        <v>0</v>
      </c>
      <c r="O361">
        <v>9.9</v>
      </c>
      <c r="P361">
        <v>1</v>
      </c>
      <c r="Q361">
        <v>1250</v>
      </c>
      <c r="R361">
        <v>0.77790958300000002</v>
      </c>
      <c r="S361" t="s">
        <v>150</v>
      </c>
      <c r="T361">
        <v>22</v>
      </c>
      <c r="U361">
        <v>1</v>
      </c>
      <c r="V361">
        <v>22</v>
      </c>
      <c r="W361">
        <v>0</v>
      </c>
      <c r="X361" t="s">
        <v>149</v>
      </c>
      <c r="Y361" t="s">
        <v>157</v>
      </c>
    </row>
    <row r="362" spans="1:25">
      <c r="A362" t="s">
        <v>543</v>
      </c>
      <c r="B362" s="113">
        <v>44089</v>
      </c>
      <c r="C362" t="s">
        <v>159</v>
      </c>
      <c r="D362" t="s">
        <v>160</v>
      </c>
      <c r="E362">
        <v>32</v>
      </c>
      <c r="F362">
        <v>777</v>
      </c>
      <c r="G362" t="s">
        <v>155</v>
      </c>
      <c r="H362">
        <v>46589.930059999999</v>
      </c>
      <c r="J362" t="s">
        <v>156</v>
      </c>
      <c r="K362" t="s">
        <v>156</v>
      </c>
      <c r="L362">
        <v>5.3</v>
      </c>
      <c r="M362" t="s">
        <v>149</v>
      </c>
      <c r="N362">
        <v>3</v>
      </c>
      <c r="O362">
        <v>5.8</v>
      </c>
      <c r="P362">
        <v>4</v>
      </c>
      <c r="Q362">
        <v>850</v>
      </c>
      <c r="R362">
        <v>0.86808533700000001</v>
      </c>
      <c r="S362" t="s">
        <v>150</v>
      </c>
      <c r="T362">
        <v>13</v>
      </c>
      <c r="U362">
        <v>0</v>
      </c>
      <c r="V362">
        <v>13</v>
      </c>
      <c r="W362">
        <v>0</v>
      </c>
      <c r="X362" t="s">
        <v>149</v>
      </c>
      <c r="Y362" t="s">
        <v>157</v>
      </c>
    </row>
    <row r="363" spans="1:25">
      <c r="A363" t="s">
        <v>544</v>
      </c>
      <c r="B363" s="113">
        <v>44090</v>
      </c>
      <c r="C363" t="s">
        <v>159</v>
      </c>
      <c r="D363" t="s">
        <v>168</v>
      </c>
      <c r="E363">
        <v>32</v>
      </c>
      <c r="F363">
        <v>609</v>
      </c>
      <c r="G363" t="s">
        <v>147</v>
      </c>
      <c r="H363">
        <v>57453.133549999999</v>
      </c>
      <c r="I363">
        <v>57453.133549999999</v>
      </c>
      <c r="J363" t="s">
        <v>148</v>
      </c>
      <c r="K363" t="s">
        <v>148</v>
      </c>
      <c r="L363">
        <v>3.3</v>
      </c>
      <c r="M363" t="s">
        <v>149</v>
      </c>
      <c r="N363">
        <v>2</v>
      </c>
      <c r="O363">
        <v>1.4</v>
      </c>
      <c r="P363">
        <v>1</v>
      </c>
      <c r="Q363">
        <v>1400</v>
      </c>
      <c r="R363">
        <v>0.93608547600000003</v>
      </c>
      <c r="S363" t="s">
        <v>150</v>
      </c>
      <c r="T363">
        <v>18</v>
      </c>
      <c r="U363">
        <v>0</v>
      </c>
      <c r="V363">
        <v>18</v>
      </c>
      <c r="W363">
        <v>0</v>
      </c>
      <c r="X363" t="s">
        <v>149</v>
      </c>
      <c r="Y363" t="s">
        <v>157</v>
      </c>
    </row>
    <row r="364" spans="1:25">
      <c r="A364" t="s">
        <v>545</v>
      </c>
      <c r="B364" s="113">
        <v>44091</v>
      </c>
      <c r="C364" t="s">
        <v>159</v>
      </c>
      <c r="D364" t="s">
        <v>209</v>
      </c>
      <c r="E364">
        <v>35</v>
      </c>
      <c r="F364">
        <v>792</v>
      </c>
      <c r="G364" t="s">
        <v>147</v>
      </c>
      <c r="H364">
        <v>11829.90049</v>
      </c>
      <c r="I364">
        <v>11829.90049</v>
      </c>
      <c r="J364" t="s">
        <v>148</v>
      </c>
      <c r="K364" t="s">
        <v>148</v>
      </c>
      <c r="L364">
        <v>0</v>
      </c>
      <c r="M364" t="s">
        <v>151</v>
      </c>
      <c r="N364">
        <v>3</v>
      </c>
      <c r="O364">
        <v>7.2</v>
      </c>
      <c r="P364">
        <v>3</v>
      </c>
      <c r="Q364">
        <v>1550</v>
      </c>
      <c r="R364">
        <v>0.98017290599999995</v>
      </c>
      <c r="S364" t="s">
        <v>198</v>
      </c>
      <c r="Y364" t="s">
        <v>199</v>
      </c>
    </row>
    <row r="365" spans="1:25">
      <c r="A365" t="s">
        <v>546</v>
      </c>
      <c r="B365" s="113">
        <v>44091</v>
      </c>
      <c r="C365" t="s">
        <v>145</v>
      </c>
      <c r="D365" t="s">
        <v>154</v>
      </c>
      <c r="E365">
        <v>60</v>
      </c>
      <c r="F365">
        <v>698</v>
      </c>
      <c r="G365" t="s">
        <v>155</v>
      </c>
      <c r="H365">
        <v>86261.768939999994</v>
      </c>
      <c r="I365">
        <v>86261.768939999994</v>
      </c>
      <c r="J365" t="s">
        <v>148</v>
      </c>
      <c r="K365" t="s">
        <v>148</v>
      </c>
      <c r="L365">
        <v>4.0999999999999996</v>
      </c>
      <c r="M365" t="s">
        <v>149</v>
      </c>
      <c r="N365">
        <v>0</v>
      </c>
      <c r="O365">
        <v>4.0999999999999996</v>
      </c>
      <c r="P365">
        <v>3</v>
      </c>
      <c r="Q365">
        <v>900</v>
      </c>
      <c r="R365">
        <v>0.99922139399999998</v>
      </c>
      <c r="S365" t="s">
        <v>150</v>
      </c>
      <c r="T365">
        <v>18</v>
      </c>
      <c r="U365">
        <v>0</v>
      </c>
      <c r="V365">
        <v>18</v>
      </c>
      <c r="W365">
        <v>0</v>
      </c>
      <c r="X365" t="s">
        <v>149</v>
      </c>
      <c r="Y365" t="s">
        <v>157</v>
      </c>
    </row>
    <row r="366" spans="1:25">
      <c r="A366" t="s">
        <v>547</v>
      </c>
      <c r="B366" s="113">
        <v>44092</v>
      </c>
      <c r="C366" t="s">
        <v>162</v>
      </c>
      <c r="D366" t="s">
        <v>193</v>
      </c>
      <c r="E366">
        <v>46</v>
      </c>
      <c r="F366">
        <v>555</v>
      </c>
      <c r="G366" t="s">
        <v>176</v>
      </c>
      <c r="H366">
        <v>35000.311179999997</v>
      </c>
      <c r="J366" t="s">
        <v>148</v>
      </c>
      <c r="K366" t="s">
        <v>148</v>
      </c>
      <c r="L366">
        <v>3.1</v>
      </c>
      <c r="M366" t="s">
        <v>149</v>
      </c>
      <c r="N366">
        <v>3</v>
      </c>
      <c r="O366">
        <v>11.4</v>
      </c>
      <c r="P366">
        <v>3</v>
      </c>
      <c r="Q366">
        <v>1200</v>
      </c>
      <c r="R366">
        <v>0.99274433799999995</v>
      </c>
      <c r="S366" t="s">
        <v>150</v>
      </c>
      <c r="T366">
        <v>23</v>
      </c>
      <c r="U366">
        <v>0</v>
      </c>
      <c r="V366">
        <v>23</v>
      </c>
      <c r="W366">
        <v>1</v>
      </c>
      <c r="X366" t="s">
        <v>149</v>
      </c>
      <c r="Y366" t="s">
        <v>157</v>
      </c>
    </row>
    <row r="367" spans="1:25">
      <c r="A367" t="s">
        <v>548</v>
      </c>
      <c r="B367" s="113">
        <v>44092</v>
      </c>
      <c r="C367" t="s">
        <v>162</v>
      </c>
      <c r="D367" t="s">
        <v>163</v>
      </c>
      <c r="E367">
        <v>35</v>
      </c>
      <c r="F367">
        <v>825</v>
      </c>
      <c r="G367" t="s">
        <v>147</v>
      </c>
      <c r="H367">
        <v>17103.559590000001</v>
      </c>
      <c r="I367">
        <v>17103.559590000001</v>
      </c>
      <c r="J367" t="s">
        <v>148</v>
      </c>
      <c r="K367" t="s">
        <v>166</v>
      </c>
      <c r="L367">
        <v>14.9</v>
      </c>
      <c r="M367" t="s">
        <v>149</v>
      </c>
      <c r="N367">
        <v>0</v>
      </c>
      <c r="O367">
        <v>12.1</v>
      </c>
      <c r="P367">
        <v>4</v>
      </c>
      <c r="Q367">
        <v>800</v>
      </c>
      <c r="R367">
        <v>0.96090719899999999</v>
      </c>
      <c r="S367" t="s">
        <v>150</v>
      </c>
      <c r="T367">
        <v>15</v>
      </c>
      <c r="U367">
        <v>0</v>
      </c>
      <c r="V367">
        <v>15</v>
      </c>
      <c r="W367">
        <v>0</v>
      </c>
      <c r="X367" t="s">
        <v>151</v>
      </c>
      <c r="Y367" t="s">
        <v>152</v>
      </c>
    </row>
    <row r="368" spans="1:25">
      <c r="A368" t="s">
        <v>549</v>
      </c>
      <c r="B368" s="113">
        <v>44092</v>
      </c>
      <c r="C368" t="s">
        <v>145</v>
      </c>
      <c r="D368" t="s">
        <v>172</v>
      </c>
      <c r="E368">
        <v>43</v>
      </c>
      <c r="F368">
        <v>794</v>
      </c>
      <c r="G368" t="s">
        <v>176</v>
      </c>
      <c r="H368">
        <v>15198.22783</v>
      </c>
      <c r="J368" t="s">
        <v>148</v>
      </c>
      <c r="K368" t="s">
        <v>148</v>
      </c>
      <c r="L368">
        <v>14.4</v>
      </c>
      <c r="M368" t="s">
        <v>149</v>
      </c>
      <c r="N368">
        <v>1</v>
      </c>
      <c r="O368">
        <v>0.5</v>
      </c>
      <c r="P368">
        <v>2</v>
      </c>
      <c r="Q368">
        <v>850</v>
      </c>
      <c r="R368">
        <v>0.90452326900000002</v>
      </c>
      <c r="S368" t="s">
        <v>150</v>
      </c>
      <c r="T368">
        <v>7</v>
      </c>
      <c r="U368">
        <v>0</v>
      </c>
      <c r="V368">
        <v>7</v>
      </c>
      <c r="W368">
        <v>0</v>
      </c>
      <c r="X368" t="s">
        <v>151</v>
      </c>
      <c r="Y368" t="s">
        <v>152</v>
      </c>
    </row>
    <row r="369" spans="1:25">
      <c r="A369" t="s">
        <v>550</v>
      </c>
      <c r="B369" s="113">
        <v>44096</v>
      </c>
      <c r="C369" t="s">
        <v>159</v>
      </c>
      <c r="D369" t="s">
        <v>197</v>
      </c>
      <c r="E369">
        <v>37</v>
      </c>
      <c r="F369">
        <v>728</v>
      </c>
      <c r="G369" t="s">
        <v>147</v>
      </c>
      <c r="H369">
        <v>83220.158670000004</v>
      </c>
      <c r="I369">
        <v>83220.158670000004</v>
      </c>
      <c r="J369" t="s">
        <v>148</v>
      </c>
      <c r="K369" t="s">
        <v>148</v>
      </c>
      <c r="L369">
        <v>0.4</v>
      </c>
      <c r="M369" t="s">
        <v>149</v>
      </c>
      <c r="N369">
        <v>4</v>
      </c>
      <c r="O369">
        <v>13.6</v>
      </c>
      <c r="P369">
        <v>3</v>
      </c>
      <c r="Q369">
        <v>1000</v>
      </c>
      <c r="R369">
        <v>0.82503289999999996</v>
      </c>
      <c r="S369" t="s">
        <v>150</v>
      </c>
      <c r="T369">
        <v>18</v>
      </c>
      <c r="U369">
        <v>0</v>
      </c>
      <c r="V369">
        <v>18</v>
      </c>
      <c r="W369">
        <v>0</v>
      </c>
      <c r="X369" t="s">
        <v>149</v>
      </c>
      <c r="Y369" t="s">
        <v>157</v>
      </c>
    </row>
    <row r="370" spans="1:25">
      <c r="A370" t="s">
        <v>551</v>
      </c>
      <c r="B370" s="113">
        <v>44098</v>
      </c>
      <c r="C370" t="s">
        <v>162</v>
      </c>
      <c r="D370" t="s">
        <v>163</v>
      </c>
      <c r="E370">
        <v>60</v>
      </c>
      <c r="F370">
        <v>614</v>
      </c>
      <c r="G370" t="s">
        <v>147</v>
      </c>
      <c r="H370">
        <v>67062.352840000007</v>
      </c>
      <c r="J370" t="s">
        <v>183</v>
      </c>
      <c r="K370" t="s">
        <v>183</v>
      </c>
      <c r="L370">
        <v>3.1</v>
      </c>
      <c r="M370" t="s">
        <v>149</v>
      </c>
      <c r="N370">
        <v>3</v>
      </c>
      <c r="O370">
        <v>1.1000000000000001</v>
      </c>
      <c r="P370">
        <v>4</v>
      </c>
      <c r="Q370">
        <v>800</v>
      </c>
      <c r="R370">
        <v>0.72446670800000001</v>
      </c>
      <c r="S370" t="s">
        <v>150</v>
      </c>
      <c r="T370">
        <v>17</v>
      </c>
      <c r="U370">
        <v>1</v>
      </c>
      <c r="V370">
        <v>17</v>
      </c>
      <c r="W370">
        <v>0</v>
      </c>
      <c r="X370" t="s">
        <v>149</v>
      </c>
      <c r="Y370" t="s">
        <v>157</v>
      </c>
    </row>
    <row r="371" spans="1:25">
      <c r="A371" t="s">
        <v>552</v>
      </c>
      <c r="B371" s="113">
        <v>44098</v>
      </c>
      <c r="C371" t="s">
        <v>162</v>
      </c>
      <c r="D371" t="s">
        <v>163</v>
      </c>
      <c r="E371">
        <v>42</v>
      </c>
      <c r="F371">
        <v>774</v>
      </c>
      <c r="G371" t="s">
        <v>169</v>
      </c>
      <c r="H371">
        <v>48439.327949999999</v>
      </c>
      <c r="I371">
        <v>48439.327949999999</v>
      </c>
      <c r="J371" t="s">
        <v>148</v>
      </c>
      <c r="K371" t="s">
        <v>148</v>
      </c>
      <c r="L371">
        <v>5.2</v>
      </c>
      <c r="M371" t="s">
        <v>149</v>
      </c>
      <c r="N371">
        <v>4</v>
      </c>
      <c r="O371">
        <v>2.1</v>
      </c>
      <c r="P371">
        <v>0</v>
      </c>
      <c r="Q371">
        <v>1400</v>
      </c>
      <c r="R371">
        <v>0.60539370000000003</v>
      </c>
      <c r="S371" t="s">
        <v>150</v>
      </c>
      <c r="T371">
        <v>18</v>
      </c>
      <c r="U371">
        <v>0</v>
      </c>
      <c r="V371">
        <v>18</v>
      </c>
      <c r="W371">
        <v>0</v>
      </c>
      <c r="X371" t="s">
        <v>149</v>
      </c>
      <c r="Y371" t="s">
        <v>157</v>
      </c>
    </row>
    <row r="372" spans="1:25">
      <c r="A372" t="s">
        <v>553</v>
      </c>
      <c r="B372" s="113">
        <v>44099</v>
      </c>
      <c r="C372" t="s">
        <v>162</v>
      </c>
      <c r="D372" t="s">
        <v>195</v>
      </c>
      <c r="E372">
        <v>57</v>
      </c>
      <c r="F372">
        <v>644</v>
      </c>
      <c r="G372" t="s">
        <v>169</v>
      </c>
      <c r="H372">
        <v>69132.245020000002</v>
      </c>
      <c r="I372">
        <v>69132.245020000002</v>
      </c>
      <c r="J372" t="s">
        <v>181</v>
      </c>
      <c r="K372" t="s">
        <v>181</v>
      </c>
      <c r="L372">
        <v>9.1</v>
      </c>
      <c r="M372" t="s">
        <v>149</v>
      </c>
      <c r="N372">
        <v>4</v>
      </c>
      <c r="O372">
        <v>1.7</v>
      </c>
      <c r="P372">
        <v>4</v>
      </c>
      <c r="Q372">
        <v>1700</v>
      </c>
      <c r="R372">
        <v>0.47085564800000002</v>
      </c>
      <c r="S372" t="s">
        <v>150</v>
      </c>
      <c r="T372">
        <v>22</v>
      </c>
      <c r="U372">
        <v>1</v>
      </c>
      <c r="V372">
        <v>22</v>
      </c>
      <c r="W372">
        <v>0</v>
      </c>
      <c r="X372" t="s">
        <v>149</v>
      </c>
      <c r="Y372" t="s">
        <v>157</v>
      </c>
    </row>
    <row r="373" spans="1:25">
      <c r="A373" t="s">
        <v>554</v>
      </c>
      <c r="B373" s="113">
        <v>44099</v>
      </c>
      <c r="C373" t="s">
        <v>159</v>
      </c>
      <c r="D373" t="s">
        <v>165</v>
      </c>
      <c r="E373">
        <v>34</v>
      </c>
      <c r="F373">
        <v>627</v>
      </c>
      <c r="G373" t="s">
        <v>169</v>
      </c>
      <c r="H373">
        <v>136782.89430000001</v>
      </c>
      <c r="I373">
        <v>136782.89430000001</v>
      </c>
      <c r="J373" t="s">
        <v>148</v>
      </c>
      <c r="K373" t="s">
        <v>148</v>
      </c>
      <c r="L373">
        <v>0.3</v>
      </c>
      <c r="M373" t="s">
        <v>149</v>
      </c>
      <c r="N373">
        <v>4</v>
      </c>
      <c r="O373">
        <v>3.7</v>
      </c>
      <c r="P373">
        <v>2</v>
      </c>
      <c r="Q373">
        <v>1350</v>
      </c>
      <c r="R373">
        <v>0.32428938400000001</v>
      </c>
      <c r="S373" t="s">
        <v>150</v>
      </c>
      <c r="T373">
        <v>22</v>
      </c>
      <c r="U373">
        <v>1</v>
      </c>
      <c r="V373">
        <v>22</v>
      </c>
      <c r="W373">
        <v>0</v>
      </c>
      <c r="X373" t="s">
        <v>149</v>
      </c>
      <c r="Y373" t="s">
        <v>157</v>
      </c>
    </row>
    <row r="374" spans="1:25">
      <c r="A374" t="s">
        <v>555</v>
      </c>
      <c r="B374" s="113">
        <v>44100</v>
      </c>
      <c r="C374" t="s">
        <v>162</v>
      </c>
      <c r="D374" t="s">
        <v>187</v>
      </c>
      <c r="E374">
        <v>33</v>
      </c>
      <c r="F374">
        <v>609</v>
      </c>
      <c r="G374" t="s">
        <v>176</v>
      </c>
      <c r="H374">
        <v>111060.3463</v>
      </c>
      <c r="I374">
        <v>111060.3463</v>
      </c>
      <c r="J374" t="s">
        <v>148</v>
      </c>
      <c r="K374" t="s">
        <v>148</v>
      </c>
      <c r="L374">
        <v>0.6</v>
      </c>
      <c r="M374" t="s">
        <v>149</v>
      </c>
      <c r="N374">
        <v>1</v>
      </c>
      <c r="O374">
        <v>3.3</v>
      </c>
      <c r="P374">
        <v>4</v>
      </c>
      <c r="Q374">
        <v>1800</v>
      </c>
      <c r="R374">
        <v>0.169439008</v>
      </c>
      <c r="S374" t="s">
        <v>150</v>
      </c>
      <c r="T374">
        <v>20</v>
      </c>
      <c r="U374">
        <v>2</v>
      </c>
      <c r="V374">
        <v>20</v>
      </c>
      <c r="W374">
        <v>0</v>
      </c>
      <c r="X374" t="s">
        <v>149</v>
      </c>
      <c r="Y374" t="s">
        <v>157</v>
      </c>
    </row>
    <row r="375" spans="1:25">
      <c r="A375" t="s">
        <v>556</v>
      </c>
      <c r="B375" s="113">
        <v>44102</v>
      </c>
      <c r="C375" t="s">
        <v>162</v>
      </c>
      <c r="D375" t="s">
        <v>179</v>
      </c>
      <c r="E375">
        <v>33</v>
      </c>
      <c r="F375">
        <v>581</v>
      </c>
      <c r="G375" t="s">
        <v>169</v>
      </c>
      <c r="H375">
        <v>136747.11790000001</v>
      </c>
      <c r="I375">
        <v>136747.11790000001</v>
      </c>
      <c r="J375" t="s">
        <v>221</v>
      </c>
      <c r="K375" t="s">
        <v>221</v>
      </c>
      <c r="L375">
        <v>0.1</v>
      </c>
      <c r="M375" t="s">
        <v>149</v>
      </c>
      <c r="N375">
        <v>8</v>
      </c>
      <c r="O375">
        <v>3.8</v>
      </c>
      <c r="P375">
        <v>2</v>
      </c>
      <c r="Q375">
        <v>1300</v>
      </c>
      <c r="R375">
        <v>1.0260238E-2</v>
      </c>
      <c r="S375" t="s">
        <v>150</v>
      </c>
      <c r="T375">
        <v>13</v>
      </c>
      <c r="U375">
        <v>1</v>
      </c>
      <c r="V375">
        <v>13</v>
      </c>
      <c r="W375">
        <v>0</v>
      </c>
      <c r="X375" t="s">
        <v>149</v>
      </c>
      <c r="Y375" t="s">
        <v>157</v>
      </c>
    </row>
    <row r="376" spans="1:25">
      <c r="A376" t="s">
        <v>557</v>
      </c>
      <c r="B376" s="113">
        <v>44102</v>
      </c>
      <c r="C376" t="s">
        <v>159</v>
      </c>
      <c r="D376" t="s">
        <v>168</v>
      </c>
      <c r="E376">
        <v>47</v>
      </c>
      <c r="F376">
        <v>775</v>
      </c>
      <c r="G376" t="s">
        <v>147</v>
      </c>
      <c r="H376">
        <v>83322.55773</v>
      </c>
      <c r="I376">
        <v>83322.55773</v>
      </c>
      <c r="J376" t="s">
        <v>156</v>
      </c>
      <c r="K376" t="s">
        <v>156</v>
      </c>
      <c r="L376">
        <v>9.1</v>
      </c>
      <c r="M376" t="s">
        <v>149</v>
      </c>
      <c r="N376">
        <v>4</v>
      </c>
      <c r="O376">
        <v>2.4</v>
      </c>
      <c r="P376">
        <v>1</v>
      </c>
      <c r="Q376">
        <v>1950</v>
      </c>
      <c r="R376">
        <v>0.14918063300000001</v>
      </c>
      <c r="S376" t="s">
        <v>150</v>
      </c>
      <c r="T376">
        <v>13</v>
      </c>
      <c r="U376">
        <v>0</v>
      </c>
      <c r="V376">
        <v>13</v>
      </c>
      <c r="W376">
        <v>0</v>
      </c>
      <c r="X376" t="s">
        <v>149</v>
      </c>
      <c r="Y376" t="s">
        <v>157</v>
      </c>
    </row>
    <row r="377" spans="1:25">
      <c r="A377" t="s">
        <v>558</v>
      </c>
      <c r="B377" s="113">
        <v>44103</v>
      </c>
      <c r="C377" t="s">
        <v>159</v>
      </c>
      <c r="D377" t="s">
        <v>168</v>
      </c>
      <c r="E377">
        <v>52</v>
      </c>
      <c r="F377">
        <v>797</v>
      </c>
      <c r="G377" t="s">
        <v>155</v>
      </c>
      <c r="H377">
        <v>43264.354809999997</v>
      </c>
      <c r="I377">
        <v>43264.354809999997</v>
      </c>
      <c r="J377" t="s">
        <v>148</v>
      </c>
      <c r="K377" t="s">
        <v>148</v>
      </c>
      <c r="L377">
        <v>8.1999999999999993</v>
      </c>
      <c r="M377" t="s">
        <v>149</v>
      </c>
      <c r="N377">
        <v>0</v>
      </c>
      <c r="O377">
        <v>1.4</v>
      </c>
      <c r="P377">
        <v>1</v>
      </c>
      <c r="Q377">
        <v>800</v>
      </c>
      <c r="R377">
        <v>0.304810621</v>
      </c>
      <c r="S377" t="s">
        <v>150</v>
      </c>
      <c r="T377">
        <v>14</v>
      </c>
      <c r="U377">
        <v>0</v>
      </c>
      <c r="V377">
        <v>14</v>
      </c>
      <c r="W377">
        <v>0</v>
      </c>
      <c r="X377" t="s">
        <v>149</v>
      </c>
      <c r="Y377" t="s">
        <v>157</v>
      </c>
    </row>
    <row r="378" spans="1:25">
      <c r="A378" t="s">
        <v>559</v>
      </c>
      <c r="B378" s="113">
        <v>44107</v>
      </c>
      <c r="C378" t="s">
        <v>162</v>
      </c>
      <c r="D378" t="s">
        <v>163</v>
      </c>
      <c r="E378">
        <v>53</v>
      </c>
      <c r="F378">
        <v>754</v>
      </c>
      <c r="G378" t="s">
        <v>155</v>
      </c>
      <c r="H378">
        <v>32982.034659999998</v>
      </c>
      <c r="I378">
        <v>32982.034659999998</v>
      </c>
      <c r="J378" t="s">
        <v>148</v>
      </c>
      <c r="K378" t="s">
        <v>148</v>
      </c>
      <c r="L378">
        <v>5</v>
      </c>
      <c r="M378" t="s">
        <v>149</v>
      </c>
      <c r="N378">
        <v>0</v>
      </c>
      <c r="O378">
        <v>13.4</v>
      </c>
      <c r="P378">
        <v>3</v>
      </c>
      <c r="Q378">
        <v>1350</v>
      </c>
      <c r="R378">
        <v>0.45265408899999998</v>
      </c>
      <c r="S378" t="s">
        <v>150</v>
      </c>
      <c r="T378">
        <v>15</v>
      </c>
      <c r="U378">
        <v>0</v>
      </c>
      <c r="V378">
        <v>15</v>
      </c>
      <c r="W378">
        <v>0</v>
      </c>
      <c r="X378" t="s">
        <v>149</v>
      </c>
      <c r="Y378" t="s">
        <v>157</v>
      </c>
    </row>
    <row r="379" spans="1:25">
      <c r="A379" t="s">
        <v>560</v>
      </c>
      <c r="B379" s="113">
        <v>44109</v>
      </c>
      <c r="C379" t="s">
        <v>159</v>
      </c>
      <c r="D379" t="s">
        <v>197</v>
      </c>
      <c r="E379">
        <v>28</v>
      </c>
      <c r="F379">
        <v>753</v>
      </c>
      <c r="G379" t="s">
        <v>169</v>
      </c>
      <c r="H379">
        <v>49034.686820000003</v>
      </c>
      <c r="J379" t="s">
        <v>156</v>
      </c>
      <c r="K379" t="s">
        <v>156</v>
      </c>
      <c r="L379">
        <v>2.4</v>
      </c>
      <c r="M379" t="s">
        <v>149</v>
      </c>
      <c r="N379">
        <v>1</v>
      </c>
      <c r="O379">
        <v>1.5</v>
      </c>
      <c r="P379">
        <v>2</v>
      </c>
      <c r="Q379">
        <v>1050</v>
      </c>
      <c r="R379">
        <v>0.58893431299999999</v>
      </c>
      <c r="S379" t="s">
        <v>150</v>
      </c>
      <c r="T379">
        <v>12</v>
      </c>
      <c r="U379">
        <v>0</v>
      </c>
      <c r="V379">
        <v>12</v>
      </c>
      <c r="W379">
        <v>0</v>
      </c>
      <c r="X379" t="s">
        <v>149</v>
      </c>
      <c r="Y379" t="s">
        <v>157</v>
      </c>
    </row>
    <row r="380" spans="1:25">
      <c r="A380" t="s">
        <v>561</v>
      </c>
      <c r="B380" s="113">
        <v>44110</v>
      </c>
      <c r="C380" t="s">
        <v>159</v>
      </c>
      <c r="D380" t="s">
        <v>168</v>
      </c>
      <c r="E380">
        <v>35</v>
      </c>
      <c r="F380">
        <v>707</v>
      </c>
      <c r="G380" t="s">
        <v>169</v>
      </c>
      <c r="H380">
        <v>110524.6421</v>
      </c>
      <c r="I380">
        <v>110524.6421</v>
      </c>
      <c r="J380" t="s">
        <v>249</v>
      </c>
      <c r="K380" t="s">
        <v>249</v>
      </c>
      <c r="L380">
        <v>6.1</v>
      </c>
      <c r="M380" t="s">
        <v>149</v>
      </c>
      <c r="N380">
        <v>3</v>
      </c>
      <c r="O380">
        <v>6.4</v>
      </c>
      <c r="P380">
        <v>1</v>
      </c>
      <c r="Q380">
        <v>1700</v>
      </c>
      <c r="R380">
        <v>0.71016995400000005</v>
      </c>
      <c r="S380" t="s">
        <v>150</v>
      </c>
      <c r="T380">
        <v>23</v>
      </c>
      <c r="U380">
        <v>2</v>
      </c>
      <c r="V380">
        <v>23</v>
      </c>
      <c r="W380">
        <v>0</v>
      </c>
      <c r="X380" t="s">
        <v>149</v>
      </c>
      <c r="Y380" t="s">
        <v>157</v>
      </c>
    </row>
    <row r="381" spans="1:25">
      <c r="A381" t="s">
        <v>562</v>
      </c>
      <c r="B381" s="113">
        <v>44110</v>
      </c>
      <c r="C381" t="s">
        <v>159</v>
      </c>
      <c r="D381" t="s">
        <v>197</v>
      </c>
      <c r="E381">
        <v>25</v>
      </c>
      <c r="F381">
        <v>712</v>
      </c>
      <c r="G381" t="s">
        <v>176</v>
      </c>
      <c r="H381">
        <v>68864.871060000005</v>
      </c>
      <c r="I381">
        <v>68864.871060000005</v>
      </c>
      <c r="J381" t="s">
        <v>148</v>
      </c>
      <c r="K381" t="s">
        <v>148</v>
      </c>
      <c r="L381">
        <v>4.5999999999999996</v>
      </c>
      <c r="M381" t="s">
        <v>149</v>
      </c>
      <c r="N381">
        <v>1</v>
      </c>
      <c r="O381">
        <v>5.4</v>
      </c>
      <c r="P381">
        <v>3</v>
      </c>
      <c r="Q381">
        <v>800</v>
      </c>
      <c r="R381">
        <v>0.81326399599999999</v>
      </c>
      <c r="S381" t="s">
        <v>150</v>
      </c>
      <c r="T381">
        <v>20</v>
      </c>
      <c r="U381">
        <v>0</v>
      </c>
      <c r="V381">
        <v>20</v>
      </c>
      <c r="W381">
        <v>0</v>
      </c>
      <c r="X381" t="s">
        <v>151</v>
      </c>
      <c r="Y381" t="s">
        <v>152</v>
      </c>
    </row>
    <row r="382" spans="1:25">
      <c r="A382" t="s">
        <v>563</v>
      </c>
      <c r="B382" s="113">
        <v>44110</v>
      </c>
      <c r="C382" t="s">
        <v>162</v>
      </c>
      <c r="D382" t="s">
        <v>190</v>
      </c>
      <c r="E382">
        <v>45</v>
      </c>
      <c r="F382">
        <v>782</v>
      </c>
      <c r="G382" t="s">
        <v>169</v>
      </c>
      <c r="H382">
        <v>38238.90926</v>
      </c>
      <c r="I382">
        <v>38238.90926</v>
      </c>
      <c r="J382" t="s">
        <v>148</v>
      </c>
      <c r="K382" t="s">
        <v>148</v>
      </c>
      <c r="L382">
        <v>0.6</v>
      </c>
      <c r="M382" t="s">
        <v>149</v>
      </c>
      <c r="N382">
        <v>5</v>
      </c>
      <c r="O382">
        <v>8</v>
      </c>
      <c r="P382">
        <v>3</v>
      </c>
      <c r="Q382">
        <v>1400</v>
      </c>
      <c r="R382">
        <v>0.89558285699999995</v>
      </c>
      <c r="S382" t="s">
        <v>198</v>
      </c>
      <c r="Y382" t="s">
        <v>199</v>
      </c>
    </row>
    <row r="383" spans="1:25">
      <c r="A383" t="s">
        <v>564</v>
      </c>
      <c r="B383" s="113">
        <v>44112</v>
      </c>
      <c r="C383" t="s">
        <v>159</v>
      </c>
      <c r="D383" t="s">
        <v>168</v>
      </c>
      <c r="E383">
        <v>45</v>
      </c>
      <c r="F383">
        <v>691</v>
      </c>
      <c r="G383" t="s">
        <v>155</v>
      </c>
      <c r="H383">
        <v>29438.394840000001</v>
      </c>
      <c r="J383" t="s">
        <v>249</v>
      </c>
      <c r="K383" t="s">
        <v>249</v>
      </c>
      <c r="L383">
        <v>5.0999999999999996</v>
      </c>
      <c r="M383" t="s">
        <v>149</v>
      </c>
      <c r="N383">
        <v>1</v>
      </c>
      <c r="O383">
        <v>12</v>
      </c>
      <c r="P383">
        <v>3</v>
      </c>
      <c r="Q383">
        <v>800</v>
      </c>
      <c r="R383">
        <v>0.95502366599999999</v>
      </c>
      <c r="S383" t="s">
        <v>150</v>
      </c>
      <c r="T383">
        <v>21</v>
      </c>
      <c r="U383">
        <v>0</v>
      </c>
      <c r="V383">
        <v>21</v>
      </c>
      <c r="W383">
        <v>1</v>
      </c>
      <c r="X383" t="s">
        <v>149</v>
      </c>
      <c r="Y383" t="s">
        <v>157</v>
      </c>
    </row>
    <row r="384" spans="1:25">
      <c r="A384" t="s">
        <v>565</v>
      </c>
      <c r="B384" s="113">
        <v>44113</v>
      </c>
      <c r="C384" t="s">
        <v>159</v>
      </c>
      <c r="D384" t="s">
        <v>168</v>
      </c>
      <c r="E384">
        <v>49</v>
      </c>
      <c r="F384">
        <v>613</v>
      </c>
      <c r="G384" t="s">
        <v>147</v>
      </c>
      <c r="H384">
        <v>38196.92424</v>
      </c>
      <c r="J384" t="s">
        <v>183</v>
      </c>
      <c r="K384" t="s">
        <v>183</v>
      </c>
      <c r="L384">
        <v>3.5</v>
      </c>
      <c r="M384" t="s">
        <v>149</v>
      </c>
      <c r="N384">
        <v>4</v>
      </c>
      <c r="O384">
        <v>0.1</v>
      </c>
      <c r="P384">
        <v>2</v>
      </c>
      <c r="Q384">
        <v>1600</v>
      </c>
      <c r="R384">
        <v>0.99006798200000001</v>
      </c>
      <c r="S384" t="s">
        <v>150</v>
      </c>
      <c r="T384">
        <v>19</v>
      </c>
      <c r="U384">
        <v>0</v>
      </c>
      <c r="V384">
        <v>19</v>
      </c>
      <c r="W384">
        <v>0</v>
      </c>
      <c r="X384" t="s">
        <v>149</v>
      </c>
      <c r="Y384" t="s">
        <v>157</v>
      </c>
    </row>
    <row r="385" spans="1:25">
      <c r="A385" t="s">
        <v>566</v>
      </c>
      <c r="B385" s="113">
        <v>44113</v>
      </c>
      <c r="C385" t="s">
        <v>145</v>
      </c>
      <c r="D385" t="s">
        <v>146</v>
      </c>
      <c r="E385">
        <v>42</v>
      </c>
      <c r="F385">
        <v>667</v>
      </c>
      <c r="G385" t="s">
        <v>176</v>
      </c>
      <c r="H385">
        <v>45441.46991</v>
      </c>
      <c r="I385">
        <v>45441.46991</v>
      </c>
      <c r="J385" t="s">
        <v>148</v>
      </c>
      <c r="K385" t="s">
        <v>148</v>
      </c>
      <c r="L385">
        <v>6</v>
      </c>
      <c r="M385" t="s">
        <v>149</v>
      </c>
      <c r="N385">
        <v>0</v>
      </c>
      <c r="O385">
        <v>10.7</v>
      </c>
      <c r="P385">
        <v>2</v>
      </c>
      <c r="Q385">
        <v>2100</v>
      </c>
      <c r="R385">
        <v>0.99982058200000001</v>
      </c>
      <c r="S385" t="s">
        <v>198</v>
      </c>
      <c r="Y385" t="s">
        <v>199</v>
      </c>
    </row>
    <row r="386" spans="1:25">
      <c r="A386" t="s">
        <v>567</v>
      </c>
      <c r="B386" s="113">
        <v>44114</v>
      </c>
      <c r="C386" t="s">
        <v>145</v>
      </c>
      <c r="D386" t="s">
        <v>154</v>
      </c>
      <c r="E386">
        <v>38</v>
      </c>
      <c r="F386">
        <v>466</v>
      </c>
      <c r="G386" t="s">
        <v>169</v>
      </c>
      <c r="H386">
        <v>28783.303240000001</v>
      </c>
      <c r="J386" t="s">
        <v>148</v>
      </c>
      <c r="K386" t="s">
        <v>166</v>
      </c>
      <c r="L386">
        <v>8.3000000000000007</v>
      </c>
      <c r="M386" t="s">
        <v>149</v>
      </c>
      <c r="N386">
        <v>1</v>
      </c>
      <c r="O386">
        <v>6.2</v>
      </c>
      <c r="P386">
        <v>3</v>
      </c>
      <c r="Q386">
        <v>1000</v>
      </c>
      <c r="R386">
        <v>0.98403233199999995</v>
      </c>
      <c r="S386" t="s">
        <v>150</v>
      </c>
      <c r="T386">
        <v>17</v>
      </c>
      <c r="U386">
        <v>0</v>
      </c>
      <c r="V386">
        <v>17</v>
      </c>
      <c r="W386">
        <v>0</v>
      </c>
      <c r="X386" t="s">
        <v>151</v>
      </c>
      <c r="Y386" t="s">
        <v>152</v>
      </c>
    </row>
    <row r="387" spans="1:25">
      <c r="A387" t="s">
        <v>568</v>
      </c>
      <c r="B387" s="113">
        <v>44117</v>
      </c>
      <c r="C387" t="s">
        <v>159</v>
      </c>
      <c r="D387" t="s">
        <v>160</v>
      </c>
      <c r="E387">
        <v>45</v>
      </c>
      <c r="F387">
        <v>627</v>
      </c>
      <c r="G387" t="s">
        <v>176</v>
      </c>
      <c r="H387">
        <v>28527.583170000002</v>
      </c>
      <c r="I387">
        <v>28527.583170000002</v>
      </c>
      <c r="J387" t="s">
        <v>148</v>
      </c>
      <c r="K387" t="s">
        <v>148</v>
      </c>
      <c r="L387">
        <v>16.899999999999999</v>
      </c>
      <c r="M387" t="s">
        <v>149</v>
      </c>
      <c r="N387">
        <v>1</v>
      </c>
      <c r="O387">
        <v>9.6</v>
      </c>
      <c r="P387">
        <v>2</v>
      </c>
      <c r="Q387">
        <v>1500</v>
      </c>
      <c r="R387">
        <v>0.94310654999999999</v>
      </c>
      <c r="S387" t="s">
        <v>150</v>
      </c>
      <c r="T387">
        <v>17</v>
      </c>
      <c r="U387">
        <v>0</v>
      </c>
      <c r="V387">
        <v>17</v>
      </c>
      <c r="W387">
        <v>0</v>
      </c>
      <c r="X387" t="s">
        <v>149</v>
      </c>
      <c r="Y387" t="s">
        <v>157</v>
      </c>
    </row>
    <row r="388" spans="1:25">
      <c r="A388" t="s">
        <v>569</v>
      </c>
      <c r="B388" s="113">
        <v>44118</v>
      </c>
      <c r="C388" t="s">
        <v>162</v>
      </c>
      <c r="D388" t="s">
        <v>163</v>
      </c>
      <c r="E388">
        <v>52</v>
      </c>
      <c r="F388">
        <v>619</v>
      </c>
      <c r="G388" t="s">
        <v>176</v>
      </c>
      <c r="H388">
        <v>45433.430650000002</v>
      </c>
      <c r="I388">
        <v>45433.430650000002</v>
      </c>
      <c r="J388" t="s">
        <v>148</v>
      </c>
      <c r="K388" t="s">
        <v>148</v>
      </c>
      <c r="L388">
        <v>2.5</v>
      </c>
      <c r="M388" t="s">
        <v>149</v>
      </c>
      <c r="N388">
        <v>3</v>
      </c>
      <c r="O388">
        <v>16.600000000000001</v>
      </c>
      <c r="P388">
        <v>1</v>
      </c>
      <c r="Q388">
        <v>1400</v>
      </c>
      <c r="R388">
        <v>0.878088702</v>
      </c>
      <c r="S388" t="s">
        <v>150</v>
      </c>
      <c r="T388">
        <v>15</v>
      </c>
      <c r="U388">
        <v>0</v>
      </c>
      <c r="V388">
        <v>15</v>
      </c>
      <c r="W388">
        <v>0</v>
      </c>
      <c r="X388" t="s">
        <v>149</v>
      </c>
      <c r="Y388" t="s">
        <v>157</v>
      </c>
    </row>
    <row r="389" spans="1:25">
      <c r="A389" t="s">
        <v>570</v>
      </c>
      <c r="B389" s="113">
        <v>44119</v>
      </c>
      <c r="C389" t="s">
        <v>162</v>
      </c>
      <c r="D389" t="s">
        <v>179</v>
      </c>
      <c r="E389">
        <v>29</v>
      </c>
      <c r="F389">
        <v>527</v>
      </c>
      <c r="G389" t="s">
        <v>155</v>
      </c>
      <c r="H389">
        <v>30828.879939999999</v>
      </c>
      <c r="I389">
        <v>30828.879939999999</v>
      </c>
      <c r="J389" t="s">
        <v>249</v>
      </c>
      <c r="K389" t="s">
        <v>249</v>
      </c>
      <c r="L389">
        <v>1</v>
      </c>
      <c r="M389" t="s">
        <v>149</v>
      </c>
      <c r="N389">
        <v>2</v>
      </c>
      <c r="O389">
        <v>1</v>
      </c>
      <c r="P389">
        <v>3</v>
      </c>
      <c r="Q389">
        <v>900</v>
      </c>
      <c r="R389">
        <v>0.790639698</v>
      </c>
      <c r="S389" t="s">
        <v>198</v>
      </c>
      <c r="Y389" t="s">
        <v>199</v>
      </c>
    </row>
    <row r="390" spans="1:25">
      <c r="A390" t="s">
        <v>571</v>
      </c>
      <c r="B390" s="113">
        <v>44121</v>
      </c>
      <c r="C390" t="s">
        <v>162</v>
      </c>
      <c r="D390" t="s">
        <v>187</v>
      </c>
      <c r="E390">
        <v>21</v>
      </c>
      <c r="F390">
        <v>666</v>
      </c>
      <c r="G390" t="s">
        <v>155</v>
      </c>
      <c r="H390">
        <v>42354.161789999998</v>
      </c>
      <c r="I390">
        <v>42354.161789999998</v>
      </c>
      <c r="J390" t="s">
        <v>148</v>
      </c>
      <c r="K390" t="s">
        <v>148</v>
      </c>
      <c r="L390">
        <v>1.3</v>
      </c>
      <c r="M390" t="s">
        <v>149</v>
      </c>
      <c r="N390">
        <v>1</v>
      </c>
      <c r="O390">
        <v>0.4</v>
      </c>
      <c r="P390">
        <v>4</v>
      </c>
      <c r="Q390">
        <v>1300</v>
      </c>
      <c r="R390">
        <v>0.68299346100000002</v>
      </c>
      <c r="S390" t="s">
        <v>198</v>
      </c>
      <c r="Y390" t="s">
        <v>199</v>
      </c>
    </row>
    <row r="391" spans="1:25">
      <c r="A391" t="s">
        <v>572</v>
      </c>
      <c r="B391" s="113">
        <v>44124</v>
      </c>
      <c r="C391" t="s">
        <v>159</v>
      </c>
      <c r="D391" t="s">
        <v>160</v>
      </c>
      <c r="E391">
        <v>48</v>
      </c>
      <c r="F391">
        <v>524</v>
      </c>
      <c r="G391" t="s">
        <v>147</v>
      </c>
      <c r="H391">
        <v>47533.452519999999</v>
      </c>
      <c r="J391" t="s">
        <v>170</v>
      </c>
      <c r="K391" t="s">
        <v>170</v>
      </c>
      <c r="L391">
        <v>4.3</v>
      </c>
      <c r="M391" t="s">
        <v>149</v>
      </c>
      <c r="N391">
        <v>2</v>
      </c>
      <c r="O391">
        <v>5.2</v>
      </c>
      <c r="P391">
        <v>2</v>
      </c>
      <c r="Q391">
        <v>1650</v>
      </c>
      <c r="R391">
        <v>0.55789986000000003</v>
      </c>
      <c r="S391" t="s">
        <v>150</v>
      </c>
      <c r="T391">
        <v>22</v>
      </c>
      <c r="U391">
        <v>0</v>
      </c>
      <c r="V391">
        <v>22</v>
      </c>
      <c r="W391">
        <v>0</v>
      </c>
      <c r="X391" t="s">
        <v>149</v>
      </c>
      <c r="Y391" t="s">
        <v>157</v>
      </c>
    </row>
    <row r="392" spans="1:25">
      <c r="A392" t="s">
        <v>573</v>
      </c>
      <c r="B392" s="113">
        <v>44127</v>
      </c>
      <c r="C392" t="s">
        <v>162</v>
      </c>
      <c r="D392" t="s">
        <v>163</v>
      </c>
      <c r="E392">
        <v>31</v>
      </c>
      <c r="F392">
        <v>780</v>
      </c>
      <c r="G392" t="s">
        <v>176</v>
      </c>
      <c r="H392">
        <v>19966.409319999999</v>
      </c>
      <c r="J392" t="s">
        <v>148</v>
      </c>
      <c r="K392" t="s">
        <v>148</v>
      </c>
      <c r="L392">
        <v>2.2000000000000002</v>
      </c>
      <c r="M392" t="s">
        <v>149</v>
      </c>
      <c r="N392">
        <v>3</v>
      </c>
      <c r="O392">
        <v>2.1</v>
      </c>
      <c r="P392">
        <v>3</v>
      </c>
      <c r="Q392">
        <v>1550</v>
      </c>
      <c r="R392">
        <v>0.41855446499999999</v>
      </c>
      <c r="S392" t="s">
        <v>150</v>
      </c>
      <c r="T392">
        <v>12</v>
      </c>
      <c r="U392">
        <v>0</v>
      </c>
      <c r="V392">
        <v>12</v>
      </c>
      <c r="W392">
        <v>0</v>
      </c>
      <c r="X392" t="s">
        <v>149</v>
      </c>
      <c r="Y392" t="s">
        <v>157</v>
      </c>
    </row>
    <row r="393" spans="1:25">
      <c r="A393" t="s">
        <v>574</v>
      </c>
      <c r="B393" s="113">
        <v>44127</v>
      </c>
      <c r="C393" t="s">
        <v>159</v>
      </c>
      <c r="D393" t="s">
        <v>165</v>
      </c>
      <c r="E393">
        <v>51</v>
      </c>
      <c r="F393">
        <v>744</v>
      </c>
      <c r="G393" t="s">
        <v>147</v>
      </c>
      <c r="H393">
        <v>40560.306510000002</v>
      </c>
      <c r="I393">
        <v>40560.306510000002</v>
      </c>
      <c r="J393" t="s">
        <v>181</v>
      </c>
      <c r="K393" t="s">
        <v>181</v>
      </c>
      <c r="L393">
        <v>4.9000000000000004</v>
      </c>
      <c r="M393" t="s">
        <v>149</v>
      </c>
      <c r="N393">
        <v>2</v>
      </c>
      <c r="O393">
        <v>6.9</v>
      </c>
      <c r="P393">
        <v>2</v>
      </c>
      <c r="Q393">
        <v>1500</v>
      </c>
      <c r="R393">
        <v>0.268516914</v>
      </c>
      <c r="S393" t="s">
        <v>150</v>
      </c>
      <c r="T393">
        <v>17</v>
      </c>
      <c r="U393">
        <v>0</v>
      </c>
      <c r="V393">
        <v>17</v>
      </c>
      <c r="W393">
        <v>0</v>
      </c>
      <c r="X393" t="s">
        <v>149</v>
      </c>
      <c r="Y393" t="s">
        <v>157</v>
      </c>
    </row>
    <row r="394" spans="1:25">
      <c r="A394" t="s">
        <v>575</v>
      </c>
      <c r="B394" s="113">
        <v>44131</v>
      </c>
      <c r="C394" t="s">
        <v>162</v>
      </c>
      <c r="D394" t="s">
        <v>195</v>
      </c>
      <c r="E394">
        <v>24</v>
      </c>
      <c r="F394">
        <v>723</v>
      </c>
      <c r="G394" t="s">
        <v>147</v>
      </c>
      <c r="H394">
        <v>32202.584080000001</v>
      </c>
      <c r="I394">
        <v>32202.584080000001</v>
      </c>
      <c r="J394" t="s">
        <v>148</v>
      </c>
      <c r="K394" t="s">
        <v>148</v>
      </c>
      <c r="L394">
        <v>0.2</v>
      </c>
      <c r="M394" t="s">
        <v>149</v>
      </c>
      <c r="N394">
        <v>2</v>
      </c>
      <c r="O394">
        <v>4.5</v>
      </c>
      <c r="P394">
        <v>3</v>
      </c>
      <c r="Q394">
        <v>1150</v>
      </c>
      <c r="R394">
        <v>0.11161998300000001</v>
      </c>
      <c r="S394" t="s">
        <v>198</v>
      </c>
      <c r="Y394" t="s">
        <v>199</v>
      </c>
    </row>
    <row r="395" spans="1:25">
      <c r="A395" t="s">
        <v>576</v>
      </c>
      <c r="B395" s="113">
        <v>44132</v>
      </c>
      <c r="C395" t="s">
        <v>145</v>
      </c>
      <c r="D395" t="s">
        <v>154</v>
      </c>
      <c r="E395">
        <v>24</v>
      </c>
      <c r="F395">
        <v>739</v>
      </c>
      <c r="G395" t="s">
        <v>169</v>
      </c>
      <c r="H395">
        <v>76311.850520000007</v>
      </c>
      <c r="I395">
        <v>76311.850520000007</v>
      </c>
      <c r="J395" t="s">
        <v>148</v>
      </c>
      <c r="K395" t="s">
        <v>148</v>
      </c>
      <c r="L395">
        <v>2.2999999999999998</v>
      </c>
      <c r="M395" t="s">
        <v>149</v>
      </c>
      <c r="N395">
        <v>2</v>
      </c>
      <c r="O395">
        <v>7</v>
      </c>
      <c r="P395">
        <v>3</v>
      </c>
      <c r="Q395">
        <v>1150</v>
      </c>
      <c r="R395">
        <v>4.8128328999999997E-2</v>
      </c>
      <c r="S395" t="s">
        <v>150</v>
      </c>
      <c r="T395">
        <v>22</v>
      </c>
      <c r="U395">
        <v>0</v>
      </c>
      <c r="V395">
        <v>22</v>
      </c>
      <c r="W395">
        <v>0</v>
      </c>
      <c r="X395" t="s">
        <v>151</v>
      </c>
      <c r="Y395" t="s">
        <v>152</v>
      </c>
    </row>
    <row r="396" spans="1:25">
      <c r="A396" t="s">
        <v>577</v>
      </c>
      <c r="B396" s="113">
        <v>44135</v>
      </c>
      <c r="C396" t="s">
        <v>162</v>
      </c>
      <c r="D396" t="s">
        <v>195</v>
      </c>
      <c r="E396">
        <v>27</v>
      </c>
      <c r="F396">
        <v>554</v>
      </c>
      <c r="G396" t="s">
        <v>176</v>
      </c>
      <c r="H396">
        <v>69843.909929999994</v>
      </c>
      <c r="J396" t="s">
        <v>148</v>
      </c>
      <c r="K396" t="s">
        <v>148</v>
      </c>
      <c r="L396">
        <v>8.8000000000000007</v>
      </c>
      <c r="M396" t="s">
        <v>149</v>
      </c>
      <c r="N396">
        <v>3</v>
      </c>
      <c r="O396">
        <v>0.8</v>
      </c>
      <c r="P396">
        <v>2</v>
      </c>
      <c r="Q396">
        <v>1050</v>
      </c>
      <c r="R396">
        <v>0.20664718100000001</v>
      </c>
      <c r="S396" t="s">
        <v>150</v>
      </c>
      <c r="T396">
        <v>20</v>
      </c>
      <c r="U396">
        <v>0</v>
      </c>
      <c r="V396">
        <v>20</v>
      </c>
      <c r="W396">
        <v>0</v>
      </c>
      <c r="X396" t="s">
        <v>149</v>
      </c>
      <c r="Y396" t="s">
        <v>157</v>
      </c>
    </row>
    <row r="397" spans="1:25">
      <c r="A397" t="s">
        <v>578</v>
      </c>
      <c r="B397" s="113">
        <v>44136</v>
      </c>
      <c r="C397" t="s">
        <v>145</v>
      </c>
      <c r="D397" t="s">
        <v>146</v>
      </c>
      <c r="E397">
        <v>28</v>
      </c>
      <c r="F397">
        <v>594</v>
      </c>
      <c r="G397" t="s">
        <v>147</v>
      </c>
      <c r="H397">
        <v>59218.692410000003</v>
      </c>
      <c r="I397">
        <v>59218.692410000003</v>
      </c>
      <c r="J397" t="s">
        <v>148</v>
      </c>
      <c r="K397" t="s">
        <v>148</v>
      </c>
      <c r="L397">
        <v>8.3000000000000007</v>
      </c>
      <c r="M397" t="s">
        <v>149</v>
      </c>
      <c r="N397">
        <v>3</v>
      </c>
      <c r="O397">
        <v>12.7</v>
      </c>
      <c r="P397">
        <v>3</v>
      </c>
      <c r="Q397">
        <v>850</v>
      </c>
      <c r="R397">
        <v>0.35988714300000002</v>
      </c>
      <c r="S397" t="s">
        <v>150</v>
      </c>
      <c r="T397">
        <v>17</v>
      </c>
      <c r="U397">
        <v>0</v>
      </c>
      <c r="V397">
        <v>17</v>
      </c>
      <c r="W397">
        <v>0</v>
      </c>
      <c r="X397" t="s">
        <v>149</v>
      </c>
      <c r="Y397" t="s">
        <v>157</v>
      </c>
    </row>
    <row r="398" spans="1:25">
      <c r="A398" t="s">
        <v>579</v>
      </c>
      <c r="B398" s="113">
        <v>44139</v>
      </c>
      <c r="C398" t="s">
        <v>162</v>
      </c>
      <c r="D398" t="s">
        <v>179</v>
      </c>
      <c r="E398">
        <v>44</v>
      </c>
      <c r="F398">
        <v>792</v>
      </c>
      <c r="G398" t="s">
        <v>169</v>
      </c>
      <c r="H398">
        <v>44826.725129999999</v>
      </c>
      <c r="I398">
        <v>44826.725129999999</v>
      </c>
      <c r="J398" t="s">
        <v>148</v>
      </c>
      <c r="K398" t="s">
        <v>148</v>
      </c>
      <c r="L398">
        <v>4.2</v>
      </c>
      <c r="M398" t="s">
        <v>149</v>
      </c>
      <c r="N398">
        <v>2</v>
      </c>
      <c r="O398">
        <v>4.4000000000000004</v>
      </c>
      <c r="P398">
        <v>3</v>
      </c>
      <c r="Q398">
        <v>1100</v>
      </c>
      <c r="R398">
        <v>0.50393363099999999</v>
      </c>
      <c r="S398" t="s">
        <v>150</v>
      </c>
      <c r="T398">
        <v>22</v>
      </c>
      <c r="U398">
        <v>0</v>
      </c>
      <c r="V398">
        <v>22</v>
      </c>
      <c r="W398">
        <v>0</v>
      </c>
      <c r="X398" t="s">
        <v>149</v>
      </c>
      <c r="Y398" t="s">
        <v>157</v>
      </c>
    </row>
    <row r="399" spans="1:25">
      <c r="A399" t="s">
        <v>580</v>
      </c>
      <c r="B399" s="113">
        <v>44140</v>
      </c>
      <c r="C399" t="s">
        <v>159</v>
      </c>
      <c r="D399" t="s">
        <v>168</v>
      </c>
      <c r="E399">
        <v>32</v>
      </c>
      <c r="F399">
        <v>501</v>
      </c>
      <c r="G399" t="s">
        <v>169</v>
      </c>
      <c r="H399">
        <v>163749.0759</v>
      </c>
      <c r="I399">
        <v>163749.0759</v>
      </c>
      <c r="J399" t="s">
        <v>148</v>
      </c>
      <c r="K399" t="s">
        <v>148</v>
      </c>
      <c r="L399">
        <v>9.1</v>
      </c>
      <c r="M399" t="s">
        <v>149</v>
      </c>
      <c r="N399">
        <v>2</v>
      </c>
      <c r="O399">
        <v>11.6</v>
      </c>
      <c r="P399">
        <v>3</v>
      </c>
      <c r="Q399">
        <v>800</v>
      </c>
      <c r="R399">
        <v>0.63510691600000002</v>
      </c>
      <c r="S399" t="s">
        <v>150</v>
      </c>
      <c r="T399">
        <v>21</v>
      </c>
      <c r="U399">
        <v>0</v>
      </c>
      <c r="V399">
        <v>21</v>
      </c>
      <c r="W399">
        <v>0</v>
      </c>
      <c r="X399" t="s">
        <v>149</v>
      </c>
      <c r="Y399" t="s">
        <v>157</v>
      </c>
    </row>
    <row r="400" spans="1:25">
      <c r="A400" t="s">
        <v>581</v>
      </c>
      <c r="B400" s="113">
        <v>44142</v>
      </c>
      <c r="C400" t="s">
        <v>162</v>
      </c>
      <c r="D400" t="s">
        <v>187</v>
      </c>
      <c r="E400">
        <v>54</v>
      </c>
      <c r="F400">
        <v>811</v>
      </c>
      <c r="G400" t="s">
        <v>176</v>
      </c>
      <c r="H400">
        <v>54173.890579999999</v>
      </c>
      <c r="J400" t="s">
        <v>148</v>
      </c>
      <c r="K400" t="s">
        <v>148</v>
      </c>
      <c r="L400">
        <v>18.7</v>
      </c>
      <c r="M400" t="s">
        <v>149</v>
      </c>
      <c r="N400">
        <v>6</v>
      </c>
      <c r="O400">
        <v>2.5</v>
      </c>
      <c r="P400">
        <v>2</v>
      </c>
      <c r="Q400">
        <v>800</v>
      </c>
      <c r="R400">
        <v>0.75005611999999999</v>
      </c>
      <c r="S400" t="s">
        <v>150</v>
      </c>
      <c r="T400">
        <v>20</v>
      </c>
      <c r="U400">
        <v>0</v>
      </c>
      <c r="V400">
        <v>20</v>
      </c>
      <c r="W400">
        <v>0</v>
      </c>
      <c r="X400" t="s">
        <v>151</v>
      </c>
      <c r="Y400" t="s">
        <v>152</v>
      </c>
    </row>
    <row r="401" spans="1:25">
      <c r="A401" t="s">
        <v>582</v>
      </c>
      <c r="B401" s="113">
        <v>44142</v>
      </c>
      <c r="C401" t="s">
        <v>145</v>
      </c>
      <c r="D401" t="s">
        <v>280</v>
      </c>
      <c r="E401">
        <v>39</v>
      </c>
      <c r="F401">
        <v>757</v>
      </c>
      <c r="G401" t="s">
        <v>155</v>
      </c>
      <c r="H401">
        <v>49991.673510000001</v>
      </c>
      <c r="I401">
        <v>49991.673510000001</v>
      </c>
      <c r="J401" t="s">
        <v>183</v>
      </c>
      <c r="K401" t="s">
        <v>183</v>
      </c>
      <c r="L401">
        <v>3.1</v>
      </c>
      <c r="M401" t="s">
        <v>149</v>
      </c>
      <c r="N401">
        <v>3</v>
      </c>
      <c r="O401">
        <v>1.2</v>
      </c>
      <c r="P401">
        <v>3</v>
      </c>
      <c r="Q401">
        <v>1150</v>
      </c>
      <c r="R401">
        <v>0.84584481499999997</v>
      </c>
      <c r="S401" t="s">
        <v>150</v>
      </c>
      <c r="T401">
        <v>17</v>
      </c>
      <c r="U401">
        <v>1</v>
      </c>
      <c r="V401">
        <v>17</v>
      </c>
      <c r="W401">
        <v>0</v>
      </c>
      <c r="X401" t="s">
        <v>151</v>
      </c>
      <c r="Y401" t="s">
        <v>152</v>
      </c>
    </row>
    <row r="402" spans="1:25">
      <c r="A402" t="s">
        <v>583</v>
      </c>
      <c r="B402" s="113">
        <v>44145</v>
      </c>
      <c r="C402" t="s">
        <v>159</v>
      </c>
      <c r="D402" t="s">
        <v>160</v>
      </c>
      <c r="E402">
        <v>34</v>
      </c>
      <c r="F402">
        <v>727</v>
      </c>
      <c r="G402" t="s">
        <v>155</v>
      </c>
      <c r="H402">
        <v>32564.012559999999</v>
      </c>
      <c r="I402">
        <v>32564.012559999999</v>
      </c>
      <c r="J402" t="s">
        <v>148</v>
      </c>
      <c r="K402" t="s">
        <v>148</v>
      </c>
      <c r="L402">
        <v>5.9</v>
      </c>
      <c r="M402" t="s">
        <v>149</v>
      </c>
      <c r="N402">
        <v>4</v>
      </c>
      <c r="O402">
        <v>2</v>
      </c>
      <c r="P402">
        <v>1</v>
      </c>
      <c r="Q402">
        <v>950</v>
      </c>
      <c r="R402">
        <v>0.92002603800000005</v>
      </c>
      <c r="S402" t="s">
        <v>150</v>
      </c>
      <c r="T402">
        <v>20</v>
      </c>
      <c r="U402">
        <v>0</v>
      </c>
      <c r="V402">
        <v>20</v>
      </c>
      <c r="W402">
        <v>0</v>
      </c>
      <c r="X402" t="s">
        <v>149</v>
      </c>
      <c r="Y402" t="s">
        <v>157</v>
      </c>
    </row>
    <row r="403" spans="1:25">
      <c r="A403" t="s">
        <v>584</v>
      </c>
      <c r="B403" s="113">
        <v>44147</v>
      </c>
      <c r="C403" t="s">
        <v>159</v>
      </c>
      <c r="D403" t="s">
        <v>165</v>
      </c>
      <c r="E403">
        <v>50</v>
      </c>
      <c r="F403">
        <v>577</v>
      </c>
      <c r="G403" t="s">
        <v>176</v>
      </c>
      <c r="H403">
        <v>71609.363960000002</v>
      </c>
      <c r="I403">
        <v>71609.363960000002</v>
      </c>
      <c r="J403" t="s">
        <v>148</v>
      </c>
      <c r="K403" t="s">
        <v>148</v>
      </c>
      <c r="L403">
        <v>16.899999999999999</v>
      </c>
      <c r="M403" t="s">
        <v>149</v>
      </c>
      <c r="N403">
        <v>3</v>
      </c>
      <c r="O403">
        <v>2.9</v>
      </c>
      <c r="P403">
        <v>2</v>
      </c>
      <c r="Q403">
        <v>1500</v>
      </c>
      <c r="R403">
        <v>0.97070479799999998</v>
      </c>
      <c r="S403" t="s">
        <v>150</v>
      </c>
      <c r="T403">
        <v>23</v>
      </c>
      <c r="U403">
        <v>1</v>
      </c>
      <c r="V403">
        <v>23</v>
      </c>
      <c r="W403">
        <v>0</v>
      </c>
      <c r="X403" t="s">
        <v>149</v>
      </c>
      <c r="Y403" t="s">
        <v>157</v>
      </c>
    </row>
    <row r="404" spans="1:25">
      <c r="A404" t="s">
        <v>585</v>
      </c>
      <c r="B404" s="113">
        <v>44147</v>
      </c>
      <c r="C404" t="s">
        <v>162</v>
      </c>
      <c r="D404" t="s">
        <v>163</v>
      </c>
      <c r="E404">
        <v>50</v>
      </c>
      <c r="F404">
        <v>828</v>
      </c>
      <c r="G404" t="s">
        <v>155</v>
      </c>
      <c r="H404">
        <v>23751.481540000001</v>
      </c>
      <c r="J404" t="s">
        <v>148</v>
      </c>
      <c r="K404" t="s">
        <v>148</v>
      </c>
      <c r="L404">
        <v>6.4</v>
      </c>
      <c r="M404" t="s">
        <v>149</v>
      </c>
      <c r="N404">
        <v>0</v>
      </c>
      <c r="O404">
        <v>2.4</v>
      </c>
      <c r="P404">
        <v>2</v>
      </c>
      <c r="Q404">
        <v>800</v>
      </c>
      <c r="R404">
        <v>0.996586482</v>
      </c>
      <c r="S404" t="s">
        <v>150</v>
      </c>
      <c r="T404">
        <v>14</v>
      </c>
      <c r="U404">
        <v>1</v>
      </c>
      <c r="V404">
        <v>14</v>
      </c>
      <c r="W404">
        <v>0</v>
      </c>
      <c r="X404" t="s">
        <v>149</v>
      </c>
      <c r="Y404" t="s">
        <v>157</v>
      </c>
    </row>
    <row r="405" spans="1:25">
      <c r="A405" t="s">
        <v>586</v>
      </c>
      <c r="B405" s="113">
        <v>44153</v>
      </c>
      <c r="C405" t="s">
        <v>159</v>
      </c>
      <c r="D405" t="s">
        <v>168</v>
      </c>
      <c r="E405">
        <v>50</v>
      </c>
      <c r="F405">
        <v>796</v>
      </c>
      <c r="G405" t="s">
        <v>176</v>
      </c>
      <c r="H405">
        <v>65677.602140000003</v>
      </c>
      <c r="I405">
        <v>65677.602140000003</v>
      </c>
      <c r="J405" t="s">
        <v>221</v>
      </c>
      <c r="K405" t="s">
        <v>221</v>
      </c>
      <c r="L405">
        <v>4</v>
      </c>
      <c r="M405" t="s">
        <v>149</v>
      </c>
      <c r="N405">
        <v>3</v>
      </c>
      <c r="O405">
        <v>4.8</v>
      </c>
      <c r="P405">
        <v>3</v>
      </c>
      <c r="Q405">
        <v>800</v>
      </c>
      <c r="R405">
        <v>0.99700993400000004</v>
      </c>
      <c r="S405" t="s">
        <v>150</v>
      </c>
      <c r="T405">
        <v>13</v>
      </c>
      <c r="U405">
        <v>1</v>
      </c>
      <c r="V405">
        <v>13</v>
      </c>
      <c r="W405">
        <v>0</v>
      </c>
      <c r="X405" t="s">
        <v>151</v>
      </c>
      <c r="Y405" t="s">
        <v>152</v>
      </c>
    </row>
    <row r="406" spans="1:25">
      <c r="A406" t="s">
        <v>587</v>
      </c>
      <c r="B406" s="113">
        <v>44161</v>
      </c>
      <c r="C406" t="s">
        <v>162</v>
      </c>
      <c r="D406" t="s">
        <v>187</v>
      </c>
      <c r="E406">
        <v>28</v>
      </c>
      <c r="F406">
        <v>811</v>
      </c>
      <c r="G406" t="s">
        <v>147</v>
      </c>
      <c r="H406">
        <v>76661.226439999999</v>
      </c>
      <c r="I406">
        <v>76661.226439999999</v>
      </c>
      <c r="J406" t="s">
        <v>148</v>
      </c>
      <c r="K406" t="s">
        <v>148</v>
      </c>
      <c r="L406">
        <v>10.199999999999999</v>
      </c>
      <c r="M406" t="s">
        <v>149</v>
      </c>
      <c r="N406">
        <v>1</v>
      </c>
      <c r="O406">
        <v>2.2000000000000002</v>
      </c>
      <c r="P406">
        <v>4</v>
      </c>
      <c r="Q406">
        <v>1700</v>
      </c>
      <c r="R406">
        <v>0.97196433400000004</v>
      </c>
      <c r="S406" t="s">
        <v>150</v>
      </c>
      <c r="T406">
        <v>21</v>
      </c>
      <c r="U406">
        <v>0</v>
      </c>
      <c r="V406">
        <v>21</v>
      </c>
      <c r="W406">
        <v>0</v>
      </c>
      <c r="X406" t="s">
        <v>149</v>
      </c>
      <c r="Y406" t="s">
        <v>157</v>
      </c>
    </row>
    <row r="407" spans="1:25">
      <c r="A407" t="s">
        <v>588</v>
      </c>
      <c r="B407" s="113">
        <v>44162</v>
      </c>
      <c r="C407" t="s">
        <v>162</v>
      </c>
      <c r="D407" t="s">
        <v>193</v>
      </c>
      <c r="E407">
        <v>42</v>
      </c>
      <c r="F407">
        <v>754</v>
      </c>
      <c r="G407" t="s">
        <v>169</v>
      </c>
      <c r="H407">
        <v>58078.071020000003</v>
      </c>
      <c r="I407">
        <v>58078.071020000003</v>
      </c>
      <c r="J407" t="s">
        <v>156</v>
      </c>
      <c r="K407" t="s">
        <v>156</v>
      </c>
      <c r="L407">
        <v>2.8</v>
      </c>
      <c r="M407" t="s">
        <v>149</v>
      </c>
      <c r="N407">
        <v>1</v>
      </c>
      <c r="O407">
        <v>2.5</v>
      </c>
      <c r="P407">
        <v>3</v>
      </c>
      <c r="Q407">
        <v>800</v>
      </c>
      <c r="R407">
        <v>0.92208948499999999</v>
      </c>
      <c r="S407" t="s">
        <v>150</v>
      </c>
      <c r="T407">
        <v>14</v>
      </c>
      <c r="U407">
        <v>1</v>
      </c>
      <c r="V407">
        <v>14</v>
      </c>
      <c r="W407">
        <v>0</v>
      </c>
      <c r="X407" t="s">
        <v>149</v>
      </c>
      <c r="Y407" t="s">
        <v>157</v>
      </c>
    </row>
    <row r="408" spans="1:25">
      <c r="A408" t="s">
        <v>589</v>
      </c>
      <c r="B408" s="113">
        <v>44166</v>
      </c>
      <c r="C408" t="s">
        <v>162</v>
      </c>
      <c r="D408" t="s">
        <v>187</v>
      </c>
      <c r="E408">
        <v>31</v>
      </c>
      <c r="F408">
        <v>509</v>
      </c>
      <c r="G408" t="s">
        <v>147</v>
      </c>
      <c r="H408">
        <v>34027.488120000002</v>
      </c>
      <c r="I408">
        <v>34027.488120000002</v>
      </c>
      <c r="J408" t="s">
        <v>148</v>
      </c>
      <c r="K408" t="s">
        <v>148</v>
      </c>
      <c r="L408">
        <v>3.5</v>
      </c>
      <c r="M408" t="s">
        <v>149</v>
      </c>
      <c r="N408">
        <v>2</v>
      </c>
      <c r="O408">
        <v>3.9</v>
      </c>
      <c r="P408">
        <v>3</v>
      </c>
      <c r="Q408">
        <v>1200</v>
      </c>
      <c r="R408">
        <v>0.84865946000000003</v>
      </c>
      <c r="S408" t="s">
        <v>150</v>
      </c>
      <c r="T408">
        <v>7</v>
      </c>
      <c r="U408">
        <v>1</v>
      </c>
      <c r="V408">
        <v>7</v>
      </c>
      <c r="W408">
        <v>0</v>
      </c>
      <c r="X408" t="s">
        <v>151</v>
      </c>
      <c r="Y408" t="s">
        <v>152</v>
      </c>
    </row>
    <row r="409" spans="1:25">
      <c r="A409" t="s">
        <v>590</v>
      </c>
      <c r="B409" s="113">
        <v>44169</v>
      </c>
      <c r="C409" t="s">
        <v>162</v>
      </c>
      <c r="D409" t="s">
        <v>195</v>
      </c>
      <c r="E409">
        <v>39</v>
      </c>
      <c r="F409">
        <v>795</v>
      </c>
      <c r="G409" t="s">
        <v>155</v>
      </c>
      <c r="H409">
        <v>25391.911039999999</v>
      </c>
      <c r="I409">
        <v>25391.911039999999</v>
      </c>
      <c r="J409" t="s">
        <v>148</v>
      </c>
      <c r="K409" t="s">
        <v>148</v>
      </c>
      <c r="L409">
        <v>5.4</v>
      </c>
      <c r="M409" t="s">
        <v>149</v>
      </c>
      <c r="N409">
        <v>2</v>
      </c>
      <c r="O409">
        <v>5.2</v>
      </c>
      <c r="P409">
        <v>2</v>
      </c>
      <c r="Q409">
        <v>1500</v>
      </c>
      <c r="R409">
        <v>0.75355006099999999</v>
      </c>
      <c r="S409" t="s">
        <v>150</v>
      </c>
      <c r="T409">
        <v>19</v>
      </c>
      <c r="U409">
        <v>0</v>
      </c>
      <c r="V409">
        <v>19</v>
      </c>
      <c r="W409">
        <v>0</v>
      </c>
      <c r="X409" t="s">
        <v>149</v>
      </c>
      <c r="Y409" t="s">
        <v>157</v>
      </c>
    </row>
    <row r="410" spans="1:25">
      <c r="A410" t="s">
        <v>591</v>
      </c>
      <c r="B410" s="113">
        <v>44177</v>
      </c>
      <c r="C410" t="s">
        <v>162</v>
      </c>
      <c r="D410" t="s">
        <v>193</v>
      </c>
      <c r="E410">
        <v>43</v>
      </c>
      <c r="F410">
        <v>659</v>
      </c>
      <c r="G410" t="s">
        <v>147</v>
      </c>
      <c r="H410">
        <v>24148.932649999999</v>
      </c>
      <c r="I410">
        <v>24148.932649999999</v>
      </c>
      <c r="J410" t="s">
        <v>148</v>
      </c>
      <c r="K410" t="s">
        <v>148</v>
      </c>
      <c r="L410">
        <v>2.2999999999999998</v>
      </c>
      <c r="M410" t="s">
        <v>149</v>
      </c>
      <c r="N410">
        <v>2</v>
      </c>
      <c r="O410">
        <v>1.1000000000000001</v>
      </c>
      <c r="P410">
        <v>3</v>
      </c>
      <c r="Q410">
        <v>1050</v>
      </c>
      <c r="R410">
        <v>0.63919090000000001</v>
      </c>
      <c r="S410" t="s">
        <v>198</v>
      </c>
      <c r="Y410" t="s">
        <v>199</v>
      </c>
    </row>
    <row r="411" spans="1:25">
      <c r="A411" t="s">
        <v>592</v>
      </c>
      <c r="B411" s="113">
        <v>44178</v>
      </c>
      <c r="C411" t="s">
        <v>162</v>
      </c>
      <c r="D411" t="s">
        <v>190</v>
      </c>
      <c r="E411">
        <v>35</v>
      </c>
      <c r="F411">
        <v>815</v>
      </c>
      <c r="G411" t="s">
        <v>169</v>
      </c>
      <c r="H411">
        <v>80676.767749999999</v>
      </c>
      <c r="I411">
        <v>80676.767749999999</v>
      </c>
      <c r="J411" t="s">
        <v>148</v>
      </c>
      <c r="K411" t="s">
        <v>148</v>
      </c>
      <c r="L411">
        <v>1.5</v>
      </c>
      <c r="M411" t="s">
        <v>149</v>
      </c>
      <c r="N411">
        <v>1</v>
      </c>
      <c r="O411">
        <v>2.4</v>
      </c>
      <c r="P411">
        <v>3</v>
      </c>
      <c r="Q411">
        <v>1150</v>
      </c>
      <c r="R411">
        <v>0.50850333000000003</v>
      </c>
      <c r="S411" t="s">
        <v>150</v>
      </c>
      <c r="T411">
        <v>17</v>
      </c>
      <c r="U411">
        <v>0</v>
      </c>
      <c r="V411">
        <v>17</v>
      </c>
      <c r="W411">
        <v>0</v>
      </c>
      <c r="X411" t="s">
        <v>149</v>
      </c>
      <c r="Y411" t="s">
        <v>157</v>
      </c>
    </row>
    <row r="412" spans="1:25">
      <c r="A412" t="s">
        <v>593</v>
      </c>
      <c r="B412" s="113">
        <v>44179</v>
      </c>
      <c r="C412" t="s">
        <v>159</v>
      </c>
      <c r="D412" t="s">
        <v>168</v>
      </c>
      <c r="E412">
        <v>55</v>
      </c>
      <c r="F412">
        <v>485</v>
      </c>
      <c r="G412" t="s">
        <v>147</v>
      </c>
      <c r="H412">
        <v>120469.8337</v>
      </c>
      <c r="I412">
        <v>120469.8337</v>
      </c>
      <c r="J412" t="s">
        <v>148</v>
      </c>
      <c r="K412" t="s">
        <v>148</v>
      </c>
      <c r="L412">
        <v>2.8</v>
      </c>
      <c r="M412" t="s">
        <v>149</v>
      </c>
      <c r="N412">
        <v>3</v>
      </c>
      <c r="O412">
        <v>5.4</v>
      </c>
      <c r="P412">
        <v>1</v>
      </c>
      <c r="Q412">
        <v>800</v>
      </c>
      <c r="R412">
        <v>0.36482582299999999</v>
      </c>
      <c r="S412" t="s">
        <v>150</v>
      </c>
      <c r="T412">
        <v>16</v>
      </c>
      <c r="U412">
        <v>1</v>
      </c>
      <c r="V412">
        <v>16</v>
      </c>
      <c r="W412">
        <v>0</v>
      </c>
      <c r="X412" t="s">
        <v>149</v>
      </c>
      <c r="Y412" t="s">
        <v>157</v>
      </c>
    </row>
    <row r="413" spans="1:25">
      <c r="A413" t="s">
        <v>594</v>
      </c>
      <c r="B413" s="113">
        <v>44180</v>
      </c>
      <c r="C413" t="s">
        <v>162</v>
      </c>
      <c r="D413" t="s">
        <v>190</v>
      </c>
      <c r="E413">
        <v>35</v>
      </c>
      <c r="F413">
        <v>631</v>
      </c>
      <c r="G413" t="s">
        <v>147</v>
      </c>
      <c r="H413">
        <v>9332.9447450000007</v>
      </c>
      <c r="J413" t="s">
        <v>148</v>
      </c>
      <c r="K413" t="s">
        <v>148</v>
      </c>
      <c r="L413">
        <v>0.1</v>
      </c>
      <c r="M413" t="s">
        <v>149</v>
      </c>
      <c r="N413">
        <v>4</v>
      </c>
      <c r="O413">
        <v>0.3</v>
      </c>
      <c r="P413">
        <v>2</v>
      </c>
      <c r="Q413">
        <v>800</v>
      </c>
      <c r="R413">
        <v>0.21182868199999999</v>
      </c>
      <c r="S413" t="s">
        <v>150</v>
      </c>
      <c r="T413">
        <v>12</v>
      </c>
      <c r="U413">
        <v>1</v>
      </c>
      <c r="V413">
        <v>12</v>
      </c>
      <c r="W413">
        <v>0</v>
      </c>
      <c r="X413" t="s">
        <v>149</v>
      </c>
      <c r="Y413" t="s">
        <v>157</v>
      </c>
    </row>
    <row r="414" spans="1:25">
      <c r="A414" t="s">
        <v>595</v>
      </c>
      <c r="B414" s="113">
        <v>44183</v>
      </c>
      <c r="C414" t="s">
        <v>162</v>
      </c>
      <c r="D414" t="s">
        <v>179</v>
      </c>
      <c r="E414">
        <v>40</v>
      </c>
      <c r="F414">
        <v>483</v>
      </c>
      <c r="G414" t="s">
        <v>147</v>
      </c>
      <c r="H414">
        <v>75103.323250000001</v>
      </c>
      <c r="I414">
        <v>75103.323250000001</v>
      </c>
      <c r="J414" t="s">
        <v>148</v>
      </c>
      <c r="K414" t="s">
        <v>148</v>
      </c>
      <c r="L414">
        <v>1.1000000000000001</v>
      </c>
      <c r="M414" t="s">
        <v>149</v>
      </c>
      <c r="N414">
        <v>3</v>
      </c>
      <c r="O414">
        <v>5.6</v>
      </c>
      <c r="P414">
        <v>2</v>
      </c>
      <c r="Q414">
        <v>1400</v>
      </c>
      <c r="R414">
        <v>5.3420284999999998E-2</v>
      </c>
      <c r="S414" t="s">
        <v>150</v>
      </c>
      <c r="T414">
        <v>13</v>
      </c>
      <c r="U414">
        <v>0</v>
      </c>
      <c r="V414">
        <v>13</v>
      </c>
      <c r="W414">
        <v>0</v>
      </c>
      <c r="X414" t="s">
        <v>151</v>
      </c>
      <c r="Y414" t="s">
        <v>152</v>
      </c>
    </row>
    <row r="415" spans="1:25">
      <c r="A415" t="s">
        <v>596</v>
      </c>
      <c r="B415" s="113">
        <v>44183</v>
      </c>
      <c r="C415" t="s">
        <v>162</v>
      </c>
      <c r="D415" t="s">
        <v>195</v>
      </c>
      <c r="E415">
        <v>24</v>
      </c>
      <c r="F415">
        <v>555</v>
      </c>
      <c r="G415" t="s">
        <v>169</v>
      </c>
      <c r="H415">
        <v>59824.65062</v>
      </c>
      <c r="I415">
        <v>59824.65062</v>
      </c>
      <c r="J415" t="s">
        <v>156</v>
      </c>
      <c r="K415" t="s">
        <v>166</v>
      </c>
      <c r="L415">
        <v>2.1</v>
      </c>
      <c r="M415" t="s">
        <v>149</v>
      </c>
      <c r="N415">
        <v>1</v>
      </c>
      <c r="O415">
        <v>3.6</v>
      </c>
      <c r="P415">
        <v>4</v>
      </c>
      <c r="Q415">
        <v>1200</v>
      </c>
      <c r="R415">
        <v>0.10635275600000001</v>
      </c>
      <c r="S415" t="s">
        <v>150</v>
      </c>
      <c r="T415">
        <v>21</v>
      </c>
      <c r="U415">
        <v>0</v>
      </c>
      <c r="V415">
        <v>21</v>
      </c>
      <c r="W415">
        <v>0</v>
      </c>
      <c r="X415" t="s">
        <v>149</v>
      </c>
      <c r="Y415" t="s">
        <v>157</v>
      </c>
    </row>
    <row r="416" spans="1:25">
      <c r="A416" t="s">
        <v>597</v>
      </c>
      <c r="B416" s="113">
        <v>44185</v>
      </c>
      <c r="C416" t="s">
        <v>162</v>
      </c>
      <c r="D416" t="s">
        <v>187</v>
      </c>
      <c r="E416">
        <v>44</v>
      </c>
      <c r="F416">
        <v>721</v>
      </c>
      <c r="G416" t="s">
        <v>176</v>
      </c>
      <c r="H416">
        <v>17324.169089999999</v>
      </c>
      <c r="I416">
        <v>17324.169089999999</v>
      </c>
      <c r="J416" t="s">
        <v>181</v>
      </c>
      <c r="K416" t="s">
        <v>181</v>
      </c>
      <c r="L416">
        <v>2.2999999999999998</v>
      </c>
      <c r="M416" t="s">
        <v>149</v>
      </c>
      <c r="N416">
        <v>1</v>
      </c>
      <c r="O416">
        <v>1.2</v>
      </c>
      <c r="P416">
        <v>3</v>
      </c>
      <c r="Q416">
        <v>850</v>
      </c>
      <c r="R416">
        <v>0.26340897000000002</v>
      </c>
      <c r="S416" t="s">
        <v>198</v>
      </c>
      <c r="Y416" t="s">
        <v>199</v>
      </c>
    </row>
    <row r="417" spans="1:25">
      <c r="A417" t="s">
        <v>598</v>
      </c>
      <c r="B417" s="113">
        <v>44185</v>
      </c>
      <c r="C417" t="s">
        <v>159</v>
      </c>
      <c r="D417" t="s">
        <v>197</v>
      </c>
      <c r="E417">
        <v>50</v>
      </c>
      <c r="F417">
        <v>723</v>
      </c>
      <c r="G417" t="s">
        <v>147</v>
      </c>
      <c r="H417">
        <v>83736.168260000006</v>
      </c>
      <c r="I417">
        <v>83736.168260000006</v>
      </c>
      <c r="J417" t="s">
        <v>148</v>
      </c>
      <c r="K417" t="s">
        <v>148</v>
      </c>
      <c r="L417">
        <v>0.3</v>
      </c>
      <c r="M417" t="s">
        <v>149</v>
      </c>
      <c r="N417">
        <v>3</v>
      </c>
      <c r="O417">
        <v>13.8</v>
      </c>
      <c r="P417">
        <v>2</v>
      </c>
      <c r="Q417">
        <v>1600</v>
      </c>
      <c r="R417">
        <v>0.41373628800000001</v>
      </c>
      <c r="S417" t="s">
        <v>150</v>
      </c>
      <c r="T417">
        <v>15</v>
      </c>
      <c r="U417">
        <v>0</v>
      </c>
      <c r="V417">
        <v>15</v>
      </c>
      <c r="W417">
        <v>0</v>
      </c>
      <c r="X417" t="s">
        <v>149</v>
      </c>
      <c r="Y417" t="s">
        <v>157</v>
      </c>
    </row>
    <row r="418" spans="1:25">
      <c r="A418" t="s">
        <v>599</v>
      </c>
      <c r="B418" s="113">
        <v>44186</v>
      </c>
      <c r="C418" t="s">
        <v>162</v>
      </c>
      <c r="D418" t="s">
        <v>190</v>
      </c>
      <c r="E418">
        <v>40</v>
      </c>
      <c r="F418">
        <v>809</v>
      </c>
      <c r="G418" t="s">
        <v>147</v>
      </c>
      <c r="H418">
        <v>41702.047030000002</v>
      </c>
      <c r="I418">
        <v>41702.047030000002</v>
      </c>
      <c r="J418" t="s">
        <v>170</v>
      </c>
      <c r="K418" t="s">
        <v>170</v>
      </c>
      <c r="L418">
        <v>0.2</v>
      </c>
      <c r="M418" t="s">
        <v>149</v>
      </c>
      <c r="N418">
        <v>2</v>
      </c>
      <c r="O418">
        <v>8.1999999999999993</v>
      </c>
      <c r="P418">
        <v>2</v>
      </c>
      <c r="Q418">
        <v>1750</v>
      </c>
      <c r="R418">
        <v>0.55349453199999998</v>
      </c>
      <c r="S418" t="s">
        <v>198</v>
      </c>
      <c r="Y418" t="s">
        <v>199</v>
      </c>
    </row>
    <row r="419" spans="1:25">
      <c r="A419" t="s">
        <v>600</v>
      </c>
      <c r="B419" s="113">
        <v>44187</v>
      </c>
      <c r="C419" t="s">
        <v>162</v>
      </c>
      <c r="D419" t="s">
        <v>190</v>
      </c>
      <c r="E419">
        <v>36</v>
      </c>
      <c r="F419">
        <v>676</v>
      </c>
      <c r="G419" t="s">
        <v>155</v>
      </c>
      <c r="H419">
        <v>30767.21615</v>
      </c>
      <c r="I419">
        <v>30767.21615</v>
      </c>
      <c r="J419" t="s">
        <v>148</v>
      </c>
      <c r="K419" t="s">
        <v>148</v>
      </c>
      <c r="L419">
        <v>17</v>
      </c>
      <c r="M419" t="s">
        <v>149</v>
      </c>
      <c r="N419">
        <v>4</v>
      </c>
      <c r="O419">
        <v>5.7</v>
      </c>
      <c r="P419">
        <v>0</v>
      </c>
      <c r="Q419">
        <v>1600</v>
      </c>
      <c r="R419">
        <v>0.67911352000000003</v>
      </c>
      <c r="S419" t="s">
        <v>150</v>
      </c>
      <c r="T419">
        <v>14</v>
      </c>
      <c r="U419">
        <v>0</v>
      </c>
      <c r="V419">
        <v>14</v>
      </c>
      <c r="W419">
        <v>0</v>
      </c>
      <c r="X419" t="s">
        <v>149</v>
      </c>
      <c r="Y419" t="s">
        <v>157</v>
      </c>
    </row>
    <row r="420" spans="1:25">
      <c r="A420" t="s">
        <v>601</v>
      </c>
      <c r="B420" s="113">
        <v>44191</v>
      </c>
      <c r="C420" t="s">
        <v>159</v>
      </c>
      <c r="D420" t="s">
        <v>197</v>
      </c>
      <c r="E420">
        <v>39</v>
      </c>
      <c r="F420">
        <v>674</v>
      </c>
      <c r="G420" t="s">
        <v>176</v>
      </c>
      <c r="H420">
        <v>80770.069839999996</v>
      </c>
      <c r="J420" t="s">
        <v>148</v>
      </c>
      <c r="K420" t="s">
        <v>148</v>
      </c>
      <c r="L420">
        <v>0.8</v>
      </c>
      <c r="M420" t="s">
        <v>149</v>
      </c>
      <c r="N420">
        <v>1</v>
      </c>
      <c r="O420">
        <v>30</v>
      </c>
      <c r="P420">
        <v>3</v>
      </c>
      <c r="Q420">
        <v>800</v>
      </c>
      <c r="R420">
        <v>0.787384258</v>
      </c>
      <c r="S420" t="s">
        <v>150</v>
      </c>
      <c r="T420">
        <v>15</v>
      </c>
      <c r="U420">
        <v>0</v>
      </c>
      <c r="V420">
        <v>15</v>
      </c>
      <c r="W420">
        <v>0</v>
      </c>
      <c r="X420" t="s">
        <v>149</v>
      </c>
      <c r="Y420" t="s">
        <v>157</v>
      </c>
    </row>
    <row r="421" spans="1:25">
      <c r="A421" t="s">
        <v>602</v>
      </c>
      <c r="B421" s="113">
        <v>44197</v>
      </c>
      <c r="C421" t="s">
        <v>162</v>
      </c>
      <c r="D421" t="s">
        <v>187</v>
      </c>
      <c r="E421">
        <v>53</v>
      </c>
      <c r="F421">
        <v>796</v>
      </c>
      <c r="G421" t="s">
        <v>176</v>
      </c>
      <c r="H421">
        <v>104712.95630000001</v>
      </c>
      <c r="I421">
        <v>104712.95630000001</v>
      </c>
      <c r="J421" t="s">
        <v>148</v>
      </c>
      <c r="K421" t="s">
        <v>148</v>
      </c>
      <c r="L421">
        <v>4.3</v>
      </c>
      <c r="M421" t="s">
        <v>149</v>
      </c>
      <c r="N421">
        <v>3</v>
      </c>
      <c r="O421">
        <v>0.3</v>
      </c>
      <c r="P421">
        <v>2</v>
      </c>
      <c r="Q421">
        <v>800</v>
      </c>
      <c r="R421">
        <v>0.87554092400000005</v>
      </c>
      <c r="S421" t="s">
        <v>150</v>
      </c>
      <c r="T421">
        <v>18</v>
      </c>
      <c r="U421">
        <v>0</v>
      </c>
      <c r="V421">
        <v>18</v>
      </c>
      <c r="W421">
        <v>0</v>
      </c>
      <c r="X421" t="s">
        <v>149</v>
      </c>
      <c r="Y421" t="s">
        <v>157</v>
      </c>
    </row>
    <row r="422" spans="1:25">
      <c r="A422" t="s">
        <v>603</v>
      </c>
      <c r="B422" s="113">
        <v>44197</v>
      </c>
      <c r="C422" t="s">
        <v>162</v>
      </c>
      <c r="D422" t="s">
        <v>193</v>
      </c>
      <c r="E422">
        <v>38</v>
      </c>
      <c r="F422">
        <v>642</v>
      </c>
      <c r="G422" t="s">
        <v>147</v>
      </c>
      <c r="H422">
        <v>31490.596539999999</v>
      </c>
      <c r="I422">
        <v>31490.596539999999</v>
      </c>
      <c r="J422" t="s">
        <v>148</v>
      </c>
      <c r="K422" t="s">
        <v>166</v>
      </c>
      <c r="L422">
        <v>0.2</v>
      </c>
      <c r="M422" t="s">
        <v>149</v>
      </c>
      <c r="N422">
        <v>0</v>
      </c>
      <c r="O422">
        <v>4.5999999999999996</v>
      </c>
      <c r="P422">
        <v>4</v>
      </c>
      <c r="Q422">
        <v>1200</v>
      </c>
      <c r="R422">
        <v>0.94133151800000003</v>
      </c>
      <c r="S422" t="s">
        <v>150</v>
      </c>
      <c r="T422">
        <v>12</v>
      </c>
      <c r="U422">
        <v>1</v>
      </c>
      <c r="V422">
        <v>12</v>
      </c>
      <c r="W422">
        <v>0</v>
      </c>
      <c r="X422" t="s">
        <v>149</v>
      </c>
      <c r="Y422" t="s">
        <v>157</v>
      </c>
    </row>
    <row r="423" spans="1:25">
      <c r="A423" t="s">
        <v>604</v>
      </c>
      <c r="B423" s="113">
        <v>44200</v>
      </c>
      <c r="C423" t="s">
        <v>159</v>
      </c>
      <c r="D423" t="s">
        <v>165</v>
      </c>
      <c r="E423">
        <v>51</v>
      </c>
      <c r="F423">
        <v>456</v>
      </c>
      <c r="G423" t="s">
        <v>147</v>
      </c>
      <c r="H423">
        <v>271623.86790000001</v>
      </c>
      <c r="I423">
        <v>271623.86790000001</v>
      </c>
      <c r="J423" t="s">
        <v>183</v>
      </c>
      <c r="K423" t="s">
        <v>183</v>
      </c>
      <c r="L423">
        <v>2.8</v>
      </c>
      <c r="M423" t="s">
        <v>149</v>
      </c>
      <c r="N423">
        <v>3</v>
      </c>
      <c r="O423">
        <v>0.4</v>
      </c>
      <c r="P423">
        <v>1</v>
      </c>
      <c r="Q423">
        <v>800</v>
      </c>
      <c r="R423">
        <v>0.98307538999999999</v>
      </c>
      <c r="S423" t="s">
        <v>150</v>
      </c>
      <c r="T423">
        <v>12</v>
      </c>
      <c r="U423">
        <v>0</v>
      </c>
      <c r="V423">
        <v>12</v>
      </c>
      <c r="W423">
        <v>0</v>
      </c>
      <c r="X423" t="s">
        <v>149</v>
      </c>
      <c r="Y423" t="s">
        <v>157</v>
      </c>
    </row>
    <row r="424" spans="1:25">
      <c r="A424" t="s">
        <v>605</v>
      </c>
      <c r="B424" s="113">
        <v>44200</v>
      </c>
      <c r="C424" t="s">
        <v>162</v>
      </c>
      <c r="D424" t="s">
        <v>163</v>
      </c>
      <c r="E424">
        <v>51</v>
      </c>
      <c r="F424">
        <v>574</v>
      </c>
      <c r="G424" t="s">
        <v>176</v>
      </c>
      <c r="H424">
        <v>65438.501839999997</v>
      </c>
      <c r="J424" t="s">
        <v>148</v>
      </c>
      <c r="K424" t="s">
        <v>148</v>
      </c>
      <c r="L424">
        <v>2.1</v>
      </c>
      <c r="M424" t="s">
        <v>151</v>
      </c>
      <c r="N424">
        <v>3</v>
      </c>
      <c r="O424">
        <v>7.7</v>
      </c>
      <c r="P424">
        <v>0</v>
      </c>
      <c r="Q424">
        <v>2300</v>
      </c>
      <c r="R424">
        <v>0.999706176</v>
      </c>
      <c r="S424" t="s">
        <v>150</v>
      </c>
      <c r="T424">
        <v>22</v>
      </c>
      <c r="U424">
        <v>1</v>
      </c>
      <c r="V424">
        <v>22</v>
      </c>
      <c r="W424">
        <v>0</v>
      </c>
      <c r="X424" t="s">
        <v>149</v>
      </c>
      <c r="Y424" t="s">
        <v>157</v>
      </c>
    </row>
    <row r="425" spans="1:25">
      <c r="A425" t="s">
        <v>606</v>
      </c>
      <c r="B425" s="113">
        <v>44203</v>
      </c>
      <c r="C425" t="s">
        <v>162</v>
      </c>
      <c r="D425" t="s">
        <v>193</v>
      </c>
      <c r="E425">
        <v>48</v>
      </c>
      <c r="F425">
        <v>671</v>
      </c>
      <c r="G425" t="s">
        <v>176</v>
      </c>
      <c r="H425">
        <v>29876.6643</v>
      </c>
      <c r="I425">
        <v>29876.6643</v>
      </c>
      <c r="J425" t="s">
        <v>183</v>
      </c>
      <c r="K425" t="s">
        <v>183</v>
      </c>
      <c r="L425">
        <v>9.6999999999999993</v>
      </c>
      <c r="M425" t="s">
        <v>149</v>
      </c>
      <c r="N425">
        <v>2</v>
      </c>
      <c r="O425">
        <v>12.2</v>
      </c>
      <c r="P425">
        <v>3</v>
      </c>
      <c r="Q425">
        <v>1400</v>
      </c>
      <c r="R425">
        <v>0.99079903400000002</v>
      </c>
      <c r="S425" t="s">
        <v>150</v>
      </c>
      <c r="T425">
        <v>12</v>
      </c>
      <c r="U425">
        <v>1</v>
      </c>
      <c r="V425">
        <v>12</v>
      </c>
      <c r="W425">
        <v>0</v>
      </c>
      <c r="X425" t="s">
        <v>149</v>
      </c>
      <c r="Y425" t="s">
        <v>157</v>
      </c>
    </row>
    <row r="426" spans="1:25">
      <c r="A426" t="s">
        <v>607</v>
      </c>
      <c r="B426" s="113">
        <v>44204</v>
      </c>
      <c r="C426" t="s">
        <v>159</v>
      </c>
      <c r="D426" t="s">
        <v>197</v>
      </c>
      <c r="E426">
        <v>37</v>
      </c>
      <c r="F426">
        <v>721</v>
      </c>
      <c r="G426" t="s">
        <v>147</v>
      </c>
      <c r="H426">
        <v>16585.201000000001</v>
      </c>
      <c r="I426">
        <v>16585.201000000001</v>
      </c>
      <c r="J426" t="s">
        <v>156</v>
      </c>
      <c r="K426" t="s">
        <v>156</v>
      </c>
      <c r="L426">
        <v>3.7</v>
      </c>
      <c r="M426" t="s">
        <v>151</v>
      </c>
      <c r="N426">
        <v>1</v>
      </c>
      <c r="O426">
        <v>0.8</v>
      </c>
      <c r="P426">
        <v>3</v>
      </c>
      <c r="Q426">
        <v>800</v>
      </c>
      <c r="R426">
        <v>0.95658150200000003</v>
      </c>
      <c r="S426" t="s">
        <v>198</v>
      </c>
      <c r="Y426" t="s">
        <v>199</v>
      </c>
    </row>
    <row r="427" spans="1:25">
      <c r="A427" t="s">
        <v>608</v>
      </c>
      <c r="B427" s="113">
        <v>44209</v>
      </c>
      <c r="C427" t="s">
        <v>159</v>
      </c>
      <c r="D427" t="s">
        <v>160</v>
      </c>
      <c r="E427">
        <v>35</v>
      </c>
      <c r="F427">
        <v>699</v>
      </c>
      <c r="G427" t="s">
        <v>147</v>
      </c>
      <c r="H427">
        <v>90766.142770000006</v>
      </c>
      <c r="J427" t="s">
        <v>148</v>
      </c>
      <c r="K427" t="s">
        <v>166</v>
      </c>
      <c r="L427">
        <v>1.1000000000000001</v>
      </c>
      <c r="M427" t="s">
        <v>149</v>
      </c>
      <c r="N427">
        <v>1</v>
      </c>
      <c r="O427">
        <v>3.9</v>
      </c>
      <c r="P427">
        <v>2</v>
      </c>
      <c r="Q427">
        <v>1600</v>
      </c>
      <c r="R427">
        <v>0.89792768099999998</v>
      </c>
      <c r="S427" t="s">
        <v>150</v>
      </c>
      <c r="T427">
        <v>15</v>
      </c>
      <c r="U427">
        <v>0</v>
      </c>
      <c r="V427">
        <v>15</v>
      </c>
      <c r="W427">
        <v>0</v>
      </c>
      <c r="X427" t="s">
        <v>149</v>
      </c>
      <c r="Y427" t="s">
        <v>157</v>
      </c>
    </row>
    <row r="428" spans="1:25">
      <c r="A428" t="s">
        <v>609</v>
      </c>
      <c r="B428" s="113">
        <v>44209</v>
      </c>
      <c r="C428" t="s">
        <v>162</v>
      </c>
      <c r="D428" t="s">
        <v>195</v>
      </c>
      <c r="E428">
        <v>58</v>
      </c>
      <c r="F428">
        <v>668</v>
      </c>
      <c r="G428" t="s">
        <v>176</v>
      </c>
      <c r="H428">
        <v>69042.736040000003</v>
      </c>
      <c r="I428">
        <v>69042.736040000003</v>
      </c>
      <c r="J428" t="s">
        <v>148</v>
      </c>
      <c r="K428" t="s">
        <v>148</v>
      </c>
      <c r="L428">
        <v>0.7</v>
      </c>
      <c r="M428" t="s">
        <v>149</v>
      </c>
      <c r="N428">
        <v>1</v>
      </c>
      <c r="O428">
        <v>7.6</v>
      </c>
      <c r="P428">
        <v>2</v>
      </c>
      <c r="Q428">
        <v>1450</v>
      </c>
      <c r="R428">
        <v>0.816335908</v>
      </c>
      <c r="S428" t="s">
        <v>150</v>
      </c>
      <c r="T428">
        <v>23</v>
      </c>
      <c r="U428">
        <v>0</v>
      </c>
      <c r="V428">
        <v>23</v>
      </c>
      <c r="W428">
        <v>0</v>
      </c>
      <c r="X428" t="s">
        <v>149</v>
      </c>
      <c r="Y428" t="s">
        <v>157</v>
      </c>
    </row>
    <row r="429" spans="1:25">
      <c r="A429" t="s">
        <v>610</v>
      </c>
      <c r="B429" s="113">
        <v>44210</v>
      </c>
      <c r="C429" t="s">
        <v>162</v>
      </c>
      <c r="D429" t="s">
        <v>193</v>
      </c>
      <c r="E429">
        <v>35</v>
      </c>
      <c r="F429">
        <v>638</v>
      </c>
      <c r="G429" t="s">
        <v>147</v>
      </c>
      <c r="H429">
        <v>71458.984179999999</v>
      </c>
      <c r="J429" t="s">
        <v>170</v>
      </c>
      <c r="K429" t="s">
        <v>170</v>
      </c>
      <c r="L429">
        <v>14.2</v>
      </c>
      <c r="M429" t="s">
        <v>149</v>
      </c>
      <c r="N429">
        <v>1</v>
      </c>
      <c r="O429">
        <v>2.6</v>
      </c>
      <c r="P429">
        <v>2</v>
      </c>
      <c r="Q429">
        <v>1500</v>
      </c>
      <c r="R429">
        <v>0.71389048099999997</v>
      </c>
      <c r="S429" t="s">
        <v>150</v>
      </c>
      <c r="T429">
        <v>17</v>
      </c>
      <c r="U429">
        <v>0</v>
      </c>
      <c r="V429">
        <v>17</v>
      </c>
      <c r="W429">
        <v>0</v>
      </c>
      <c r="X429" t="s">
        <v>149</v>
      </c>
      <c r="Y429" t="s">
        <v>157</v>
      </c>
    </row>
    <row r="430" spans="1:25">
      <c r="A430" t="s">
        <v>611</v>
      </c>
      <c r="B430" s="113">
        <v>44210</v>
      </c>
      <c r="C430" t="s">
        <v>145</v>
      </c>
      <c r="D430" t="s">
        <v>280</v>
      </c>
      <c r="E430">
        <v>47</v>
      </c>
      <c r="F430">
        <v>728</v>
      </c>
      <c r="G430" t="s">
        <v>155</v>
      </c>
      <c r="H430">
        <v>34368.862509999999</v>
      </c>
      <c r="I430">
        <v>34368.862509999999</v>
      </c>
      <c r="J430" t="s">
        <v>148</v>
      </c>
      <c r="K430" t="s">
        <v>148</v>
      </c>
      <c r="L430">
        <v>1.5</v>
      </c>
      <c r="M430" t="s">
        <v>149</v>
      </c>
      <c r="N430">
        <v>1</v>
      </c>
      <c r="O430">
        <v>5.9</v>
      </c>
      <c r="P430">
        <v>2</v>
      </c>
      <c r="Q430">
        <v>2100</v>
      </c>
      <c r="R430">
        <v>0.59320841199999996</v>
      </c>
      <c r="S430" t="s">
        <v>150</v>
      </c>
      <c r="T430">
        <v>23</v>
      </c>
      <c r="U430">
        <v>2</v>
      </c>
      <c r="V430">
        <v>23</v>
      </c>
      <c r="W430">
        <v>0</v>
      </c>
      <c r="X430" t="s">
        <v>149</v>
      </c>
      <c r="Y430" t="s">
        <v>157</v>
      </c>
    </row>
    <row r="431" spans="1:25">
      <c r="A431" t="s">
        <v>612</v>
      </c>
      <c r="B431" s="113">
        <v>44217</v>
      </c>
      <c r="C431" t="s">
        <v>159</v>
      </c>
      <c r="D431" t="s">
        <v>168</v>
      </c>
      <c r="E431">
        <v>52</v>
      </c>
      <c r="F431">
        <v>628</v>
      </c>
      <c r="G431" t="s">
        <v>147</v>
      </c>
      <c r="H431">
        <v>48460.470410000002</v>
      </c>
      <c r="I431">
        <v>48460.470410000002</v>
      </c>
      <c r="J431" t="s">
        <v>148</v>
      </c>
      <c r="K431" t="s">
        <v>148</v>
      </c>
      <c r="L431">
        <v>1</v>
      </c>
      <c r="M431" t="s">
        <v>149</v>
      </c>
      <c r="N431">
        <v>1</v>
      </c>
      <c r="O431">
        <v>3.6</v>
      </c>
      <c r="P431">
        <v>3</v>
      </c>
      <c r="Q431">
        <v>1000</v>
      </c>
      <c r="R431">
        <v>0.457372577</v>
      </c>
      <c r="S431" t="s">
        <v>198</v>
      </c>
      <c r="Y431" t="s">
        <v>199</v>
      </c>
    </row>
    <row r="432" spans="1:25">
      <c r="A432" t="s">
        <v>613</v>
      </c>
      <c r="B432" s="113">
        <v>44221</v>
      </c>
      <c r="C432" t="s">
        <v>162</v>
      </c>
      <c r="D432" t="s">
        <v>163</v>
      </c>
      <c r="E432">
        <v>50</v>
      </c>
      <c r="F432">
        <v>788</v>
      </c>
      <c r="G432" t="s">
        <v>169</v>
      </c>
      <c r="H432">
        <v>45301.929880000003</v>
      </c>
      <c r="I432">
        <v>45301.929880000003</v>
      </c>
      <c r="J432" t="s">
        <v>221</v>
      </c>
      <c r="K432" t="s">
        <v>166</v>
      </c>
      <c r="L432">
        <v>6</v>
      </c>
      <c r="M432" t="s">
        <v>149</v>
      </c>
      <c r="N432">
        <v>5</v>
      </c>
      <c r="O432">
        <v>9.4</v>
      </c>
      <c r="P432">
        <v>2</v>
      </c>
      <c r="Q432">
        <v>1300</v>
      </c>
      <c r="R432">
        <v>0.30985296200000001</v>
      </c>
      <c r="S432" t="s">
        <v>150</v>
      </c>
      <c r="T432">
        <v>23</v>
      </c>
      <c r="U432">
        <v>1</v>
      </c>
      <c r="V432">
        <v>23</v>
      </c>
      <c r="W432">
        <v>0</v>
      </c>
      <c r="X432" t="s">
        <v>151</v>
      </c>
      <c r="Y432" t="s">
        <v>152</v>
      </c>
    </row>
    <row r="433" spans="1:25">
      <c r="A433" t="s">
        <v>614</v>
      </c>
      <c r="B433" s="113">
        <v>44224</v>
      </c>
      <c r="C433" t="s">
        <v>162</v>
      </c>
      <c r="D433" t="s">
        <v>195</v>
      </c>
      <c r="E433">
        <v>49</v>
      </c>
      <c r="F433">
        <v>770</v>
      </c>
      <c r="G433" t="s">
        <v>155</v>
      </c>
      <c r="H433">
        <v>51638.896890000004</v>
      </c>
      <c r="J433" t="s">
        <v>156</v>
      </c>
      <c r="K433" t="s">
        <v>156</v>
      </c>
      <c r="L433">
        <v>6</v>
      </c>
      <c r="M433" t="s">
        <v>149</v>
      </c>
      <c r="N433">
        <v>2</v>
      </c>
      <c r="O433">
        <v>2</v>
      </c>
      <c r="P433">
        <v>2</v>
      </c>
      <c r="Q433">
        <v>900</v>
      </c>
      <c r="R433">
        <v>0.15441801799999999</v>
      </c>
      <c r="S433" t="s">
        <v>150</v>
      </c>
      <c r="T433">
        <v>6</v>
      </c>
      <c r="U433">
        <v>0</v>
      </c>
      <c r="V433">
        <v>6</v>
      </c>
      <c r="W433">
        <v>0</v>
      </c>
      <c r="X433" t="s">
        <v>151</v>
      </c>
      <c r="Y433" t="s">
        <v>152</v>
      </c>
    </row>
    <row r="434" spans="1:25">
      <c r="A434" t="s">
        <v>615</v>
      </c>
      <c r="B434" s="113">
        <v>44227</v>
      </c>
      <c r="C434" t="s">
        <v>145</v>
      </c>
      <c r="D434" t="s">
        <v>172</v>
      </c>
      <c r="E434">
        <v>44</v>
      </c>
      <c r="F434">
        <v>719</v>
      </c>
      <c r="G434" t="s">
        <v>176</v>
      </c>
      <c r="H434">
        <v>14319.628640000001</v>
      </c>
      <c r="I434">
        <v>14319.628640000001</v>
      </c>
      <c r="J434" t="s">
        <v>148</v>
      </c>
      <c r="K434" t="s">
        <v>148</v>
      </c>
      <c r="L434">
        <v>4.0999999999999996</v>
      </c>
      <c r="M434" t="s">
        <v>149</v>
      </c>
      <c r="N434">
        <v>3</v>
      </c>
      <c r="O434">
        <v>1.8</v>
      </c>
      <c r="P434">
        <v>2</v>
      </c>
      <c r="Q434">
        <v>1750</v>
      </c>
      <c r="R434">
        <v>4.9616010000000004E-3</v>
      </c>
      <c r="S434" t="s">
        <v>198</v>
      </c>
      <c r="Y434" t="s">
        <v>199</v>
      </c>
    </row>
    <row r="435" spans="1:25">
      <c r="A435" t="s">
        <v>616</v>
      </c>
      <c r="B435" s="113">
        <v>44234</v>
      </c>
      <c r="C435" t="s">
        <v>162</v>
      </c>
      <c r="D435" t="s">
        <v>193</v>
      </c>
      <c r="E435">
        <v>39</v>
      </c>
      <c r="F435">
        <v>700</v>
      </c>
      <c r="G435" t="s">
        <v>147</v>
      </c>
      <c r="H435">
        <v>54465.301679999997</v>
      </c>
      <c r="I435">
        <v>54465.301679999997</v>
      </c>
      <c r="J435" t="s">
        <v>183</v>
      </c>
      <c r="K435" t="s">
        <v>183</v>
      </c>
      <c r="L435">
        <v>1</v>
      </c>
      <c r="M435" t="s">
        <v>149</v>
      </c>
      <c r="N435">
        <v>1</v>
      </c>
      <c r="O435">
        <v>0.6</v>
      </c>
      <c r="P435">
        <v>1</v>
      </c>
      <c r="Q435">
        <v>1200</v>
      </c>
      <c r="R435">
        <v>0.164214473</v>
      </c>
      <c r="S435" t="s">
        <v>150</v>
      </c>
      <c r="T435">
        <v>16</v>
      </c>
      <c r="U435">
        <v>0</v>
      </c>
      <c r="V435">
        <v>16</v>
      </c>
      <c r="W435">
        <v>0</v>
      </c>
      <c r="X435" t="s">
        <v>149</v>
      </c>
      <c r="Y435" t="s">
        <v>157</v>
      </c>
    </row>
    <row r="436" spans="1:25">
      <c r="A436" t="s">
        <v>617</v>
      </c>
      <c r="B436" s="113">
        <v>44238</v>
      </c>
      <c r="C436" t="s">
        <v>159</v>
      </c>
      <c r="D436" t="s">
        <v>165</v>
      </c>
      <c r="E436">
        <v>48</v>
      </c>
      <c r="F436">
        <v>630</v>
      </c>
      <c r="G436" t="s">
        <v>147</v>
      </c>
      <c r="H436">
        <v>39033.303939999998</v>
      </c>
      <c r="I436">
        <v>39033.303939999998</v>
      </c>
      <c r="J436" t="s">
        <v>148</v>
      </c>
      <c r="K436" t="s">
        <v>148</v>
      </c>
      <c r="L436">
        <v>0.9</v>
      </c>
      <c r="M436" t="s">
        <v>149</v>
      </c>
      <c r="N436">
        <v>2</v>
      </c>
      <c r="O436">
        <v>1.6</v>
      </c>
      <c r="P436">
        <v>3</v>
      </c>
      <c r="Q436">
        <v>1650</v>
      </c>
      <c r="R436">
        <v>0.319272416</v>
      </c>
      <c r="S436" t="s">
        <v>198</v>
      </c>
      <c r="Y436" t="s">
        <v>199</v>
      </c>
    </row>
    <row r="437" spans="1:25">
      <c r="A437" t="s">
        <v>618</v>
      </c>
      <c r="B437" s="113">
        <v>44243</v>
      </c>
      <c r="C437" t="s">
        <v>145</v>
      </c>
      <c r="D437" t="s">
        <v>146</v>
      </c>
      <c r="E437">
        <v>47</v>
      </c>
      <c r="F437">
        <v>750</v>
      </c>
      <c r="G437" t="s">
        <v>176</v>
      </c>
      <c r="H437">
        <v>46955.828090000003</v>
      </c>
      <c r="I437">
        <v>46955.828090000003</v>
      </c>
      <c r="J437" t="s">
        <v>156</v>
      </c>
      <c r="K437" t="s">
        <v>156</v>
      </c>
      <c r="L437">
        <v>4.2</v>
      </c>
      <c r="M437" t="s">
        <v>149</v>
      </c>
      <c r="N437">
        <v>4</v>
      </c>
      <c r="O437">
        <v>19</v>
      </c>
      <c r="P437">
        <v>3</v>
      </c>
      <c r="Q437">
        <v>1000</v>
      </c>
      <c r="R437">
        <v>0.46617440599999999</v>
      </c>
      <c r="S437" t="s">
        <v>150</v>
      </c>
      <c r="T437">
        <v>16</v>
      </c>
      <c r="U437">
        <v>0</v>
      </c>
      <c r="V437">
        <v>16</v>
      </c>
      <c r="W437">
        <v>0</v>
      </c>
      <c r="X437" t="s">
        <v>149</v>
      </c>
      <c r="Y437" t="s">
        <v>157</v>
      </c>
    </row>
    <row r="438" spans="1:25">
      <c r="A438" t="s">
        <v>619</v>
      </c>
      <c r="B438" s="113">
        <v>44243</v>
      </c>
      <c r="C438" t="s">
        <v>145</v>
      </c>
      <c r="D438" t="s">
        <v>280</v>
      </c>
      <c r="E438">
        <v>31</v>
      </c>
      <c r="F438">
        <v>561</v>
      </c>
      <c r="G438" t="s">
        <v>169</v>
      </c>
      <c r="H438">
        <v>33321.621599999999</v>
      </c>
      <c r="I438">
        <v>33321.621599999999</v>
      </c>
      <c r="J438" t="s">
        <v>148</v>
      </c>
      <c r="K438" t="s">
        <v>148</v>
      </c>
      <c r="L438">
        <v>14.8</v>
      </c>
      <c r="M438" t="s">
        <v>151</v>
      </c>
      <c r="N438">
        <v>2</v>
      </c>
      <c r="O438">
        <v>0.7</v>
      </c>
      <c r="P438">
        <v>3</v>
      </c>
      <c r="Q438">
        <v>1250</v>
      </c>
      <c r="R438">
        <v>0.60116776900000002</v>
      </c>
      <c r="S438" t="s">
        <v>198</v>
      </c>
      <c r="Y438" t="s">
        <v>199</v>
      </c>
    </row>
    <row r="439" spans="1:25">
      <c r="A439" t="s">
        <v>620</v>
      </c>
      <c r="B439" s="113">
        <v>44244</v>
      </c>
      <c r="C439" t="s">
        <v>145</v>
      </c>
      <c r="D439" t="s">
        <v>213</v>
      </c>
      <c r="E439">
        <v>35</v>
      </c>
      <c r="F439">
        <v>759</v>
      </c>
      <c r="G439" t="s">
        <v>155</v>
      </c>
      <c r="H439">
        <v>56894.566590000002</v>
      </c>
      <c r="I439">
        <v>56894.566590000002</v>
      </c>
      <c r="J439" t="s">
        <v>148</v>
      </c>
      <c r="K439" t="s">
        <v>148</v>
      </c>
      <c r="L439">
        <v>2.8</v>
      </c>
      <c r="M439" t="s">
        <v>149</v>
      </c>
      <c r="N439">
        <v>1</v>
      </c>
      <c r="O439">
        <v>4.9000000000000004</v>
      </c>
      <c r="P439">
        <v>3</v>
      </c>
      <c r="Q439">
        <v>1000</v>
      </c>
      <c r="R439">
        <v>0.72080404200000003</v>
      </c>
      <c r="S439" t="s">
        <v>150</v>
      </c>
      <c r="T439">
        <v>21</v>
      </c>
      <c r="U439">
        <v>0</v>
      </c>
      <c r="V439">
        <v>21</v>
      </c>
      <c r="W439">
        <v>0</v>
      </c>
      <c r="X439" t="s">
        <v>149</v>
      </c>
      <c r="Y439" t="s">
        <v>157</v>
      </c>
    </row>
    <row r="440" spans="1:25">
      <c r="A440" t="s">
        <v>621</v>
      </c>
      <c r="B440" s="113">
        <v>44244</v>
      </c>
      <c r="C440" t="s">
        <v>159</v>
      </c>
      <c r="D440" t="s">
        <v>160</v>
      </c>
      <c r="E440">
        <v>47</v>
      </c>
      <c r="F440">
        <v>815</v>
      </c>
      <c r="G440" t="s">
        <v>169</v>
      </c>
      <c r="H440">
        <v>69182.454750000004</v>
      </c>
      <c r="J440" t="s">
        <v>148</v>
      </c>
      <c r="K440" t="s">
        <v>148</v>
      </c>
      <c r="L440">
        <v>4.8</v>
      </c>
      <c r="M440" t="s">
        <v>149</v>
      </c>
      <c r="N440">
        <v>3</v>
      </c>
      <c r="O440">
        <v>5.9</v>
      </c>
      <c r="P440">
        <v>4</v>
      </c>
      <c r="Q440">
        <v>1350</v>
      </c>
      <c r="R440">
        <v>0.82202706199999998</v>
      </c>
      <c r="S440" t="s">
        <v>150</v>
      </c>
      <c r="T440">
        <v>16</v>
      </c>
      <c r="U440">
        <v>0</v>
      </c>
      <c r="V440">
        <v>16</v>
      </c>
      <c r="W440">
        <v>1</v>
      </c>
      <c r="X440" t="s">
        <v>149</v>
      </c>
      <c r="Y440" t="s">
        <v>157</v>
      </c>
    </row>
    <row r="441" spans="1:25">
      <c r="A441" t="s">
        <v>622</v>
      </c>
      <c r="B441" s="113">
        <v>44245</v>
      </c>
      <c r="C441" t="s">
        <v>159</v>
      </c>
      <c r="D441" t="s">
        <v>197</v>
      </c>
      <c r="E441">
        <v>31</v>
      </c>
      <c r="F441">
        <v>699</v>
      </c>
      <c r="G441" t="s">
        <v>176</v>
      </c>
      <c r="H441">
        <v>36802.695090000001</v>
      </c>
      <c r="I441">
        <v>36802.695090000001</v>
      </c>
      <c r="J441" t="s">
        <v>156</v>
      </c>
      <c r="K441" t="s">
        <v>156</v>
      </c>
      <c r="L441">
        <v>2.1</v>
      </c>
      <c r="M441" t="s">
        <v>151</v>
      </c>
      <c r="N441">
        <v>4</v>
      </c>
      <c r="O441">
        <v>9.3000000000000007</v>
      </c>
      <c r="P441">
        <v>2</v>
      </c>
      <c r="Q441">
        <v>1400</v>
      </c>
      <c r="R441">
        <v>0.90225104499999997</v>
      </c>
      <c r="S441" t="s">
        <v>198</v>
      </c>
      <c r="Y441" t="s">
        <v>199</v>
      </c>
    </row>
    <row r="442" spans="1:25">
      <c r="A442" t="s">
        <v>623</v>
      </c>
      <c r="B442" s="113">
        <v>44245</v>
      </c>
      <c r="C442" t="s">
        <v>162</v>
      </c>
      <c r="D442" t="s">
        <v>190</v>
      </c>
      <c r="E442">
        <v>47</v>
      </c>
      <c r="F442">
        <v>738</v>
      </c>
      <c r="G442" t="s">
        <v>147</v>
      </c>
      <c r="H442">
        <v>80865.155100000004</v>
      </c>
      <c r="I442">
        <v>80865.155100000004</v>
      </c>
      <c r="J442" t="s">
        <v>156</v>
      </c>
      <c r="K442" t="s">
        <v>156</v>
      </c>
      <c r="L442">
        <v>4.7</v>
      </c>
      <c r="M442" t="s">
        <v>149</v>
      </c>
      <c r="N442">
        <v>3</v>
      </c>
      <c r="O442">
        <v>5.0999999999999996</v>
      </c>
      <c r="P442">
        <v>3</v>
      </c>
      <c r="Q442">
        <v>1700</v>
      </c>
      <c r="R442">
        <v>0.95942663500000003</v>
      </c>
      <c r="S442" t="s">
        <v>150</v>
      </c>
      <c r="T442">
        <v>22</v>
      </c>
      <c r="U442">
        <v>1</v>
      </c>
      <c r="V442">
        <v>22</v>
      </c>
      <c r="W442">
        <v>0</v>
      </c>
      <c r="X442" t="s">
        <v>149</v>
      </c>
      <c r="Y442" t="s">
        <v>157</v>
      </c>
    </row>
    <row r="443" spans="1:25">
      <c r="A443" t="s">
        <v>623</v>
      </c>
      <c r="B443" s="113">
        <v>44245</v>
      </c>
      <c r="C443" t="s">
        <v>162</v>
      </c>
      <c r="D443" t="s">
        <v>190</v>
      </c>
      <c r="E443">
        <v>47</v>
      </c>
      <c r="F443">
        <v>738</v>
      </c>
      <c r="G443" t="s">
        <v>147</v>
      </c>
      <c r="H443">
        <v>80865.155100000004</v>
      </c>
      <c r="I443">
        <v>80865.155100000004</v>
      </c>
      <c r="J443" t="s">
        <v>156</v>
      </c>
      <c r="K443" t="s">
        <v>156</v>
      </c>
      <c r="L443">
        <v>4.7</v>
      </c>
      <c r="M443" t="s">
        <v>149</v>
      </c>
      <c r="N443">
        <v>3</v>
      </c>
      <c r="O443">
        <v>5.0999999999999996</v>
      </c>
      <c r="P443">
        <v>3</v>
      </c>
      <c r="Q443">
        <v>1700</v>
      </c>
      <c r="R443">
        <v>0.99209325500000001</v>
      </c>
      <c r="S443" t="s">
        <v>150</v>
      </c>
      <c r="T443">
        <v>22</v>
      </c>
      <c r="U443">
        <v>1</v>
      </c>
      <c r="V443">
        <v>22</v>
      </c>
      <c r="W443">
        <v>0</v>
      </c>
      <c r="X443" t="s">
        <v>149</v>
      </c>
      <c r="Y443" t="s">
        <v>157</v>
      </c>
    </row>
    <row r="444" spans="1:25">
      <c r="A444" t="s">
        <v>624</v>
      </c>
      <c r="B444" s="113">
        <v>44246</v>
      </c>
      <c r="C444" t="s">
        <v>145</v>
      </c>
      <c r="D444" t="s">
        <v>213</v>
      </c>
      <c r="E444">
        <v>30</v>
      </c>
      <c r="F444">
        <v>605</v>
      </c>
      <c r="G444" t="s">
        <v>169</v>
      </c>
      <c r="H444">
        <v>31555.541570000001</v>
      </c>
      <c r="I444">
        <v>31555.541570000001</v>
      </c>
      <c r="J444" t="s">
        <v>148</v>
      </c>
      <c r="K444" t="s">
        <v>148</v>
      </c>
      <c r="L444">
        <v>10.7</v>
      </c>
      <c r="M444" t="s">
        <v>149</v>
      </c>
      <c r="N444">
        <v>6</v>
      </c>
      <c r="O444">
        <v>1.5</v>
      </c>
      <c r="P444">
        <v>3</v>
      </c>
      <c r="Q444">
        <v>1550</v>
      </c>
      <c r="R444">
        <v>0.999416423</v>
      </c>
      <c r="S444" t="s">
        <v>198</v>
      </c>
      <c r="Y444" t="s">
        <v>199</v>
      </c>
    </row>
    <row r="445" spans="1:25">
      <c r="A445" t="s">
        <v>625</v>
      </c>
      <c r="B445" s="113">
        <v>44248</v>
      </c>
      <c r="C445" t="s">
        <v>159</v>
      </c>
      <c r="D445" t="s">
        <v>209</v>
      </c>
      <c r="E445">
        <v>26</v>
      </c>
      <c r="F445">
        <v>598</v>
      </c>
      <c r="G445" t="s">
        <v>155</v>
      </c>
      <c r="H445">
        <v>32327.170300000002</v>
      </c>
      <c r="I445">
        <v>32327.170300000002</v>
      </c>
      <c r="J445" t="s">
        <v>148</v>
      </c>
      <c r="K445" t="s">
        <v>148</v>
      </c>
      <c r="L445">
        <v>4.2</v>
      </c>
      <c r="M445" t="s">
        <v>149</v>
      </c>
      <c r="N445">
        <v>7</v>
      </c>
      <c r="O445">
        <v>2.2000000000000002</v>
      </c>
      <c r="P445">
        <v>4</v>
      </c>
      <c r="Q445">
        <v>1200</v>
      </c>
      <c r="R445">
        <v>0.98120906600000002</v>
      </c>
      <c r="S445" t="s">
        <v>150</v>
      </c>
      <c r="T445">
        <v>19</v>
      </c>
      <c r="U445">
        <v>0</v>
      </c>
      <c r="V445">
        <v>19</v>
      </c>
      <c r="W445">
        <v>0</v>
      </c>
      <c r="X445" t="s">
        <v>151</v>
      </c>
      <c r="Y445" t="s">
        <v>152</v>
      </c>
    </row>
    <row r="446" spans="1:25">
      <c r="A446" t="s">
        <v>626</v>
      </c>
      <c r="B446" s="113">
        <v>44250</v>
      </c>
      <c r="C446" t="s">
        <v>162</v>
      </c>
      <c r="D446" t="s">
        <v>187</v>
      </c>
      <c r="E446">
        <v>32</v>
      </c>
      <c r="F446">
        <v>644</v>
      </c>
      <c r="G446" t="s">
        <v>169</v>
      </c>
      <c r="H446">
        <v>25129.256069999999</v>
      </c>
      <c r="J446" t="s">
        <v>156</v>
      </c>
      <c r="K446" t="s">
        <v>156</v>
      </c>
      <c r="L446">
        <v>3.8</v>
      </c>
      <c r="M446" t="s">
        <v>149</v>
      </c>
      <c r="N446">
        <v>4</v>
      </c>
      <c r="O446">
        <v>1.9</v>
      </c>
      <c r="P446">
        <v>3</v>
      </c>
      <c r="Q446">
        <v>800</v>
      </c>
      <c r="R446">
        <v>0.937936298</v>
      </c>
      <c r="S446" t="s">
        <v>150</v>
      </c>
      <c r="T446">
        <v>23</v>
      </c>
      <c r="U446">
        <v>1</v>
      </c>
      <c r="V446">
        <v>23</v>
      </c>
      <c r="W446">
        <v>0</v>
      </c>
      <c r="X446" t="s">
        <v>151</v>
      </c>
      <c r="Y446" t="s">
        <v>152</v>
      </c>
    </row>
    <row r="447" spans="1:25">
      <c r="A447" t="s">
        <v>627</v>
      </c>
      <c r="B447" s="113">
        <v>44250</v>
      </c>
      <c r="C447" t="s">
        <v>162</v>
      </c>
      <c r="D447" t="s">
        <v>193</v>
      </c>
      <c r="E447">
        <v>42</v>
      </c>
      <c r="F447">
        <v>468</v>
      </c>
      <c r="G447" t="s">
        <v>169</v>
      </c>
      <c r="H447">
        <v>69658.994909999994</v>
      </c>
      <c r="I447">
        <v>69658.994909999994</v>
      </c>
      <c r="J447" t="s">
        <v>148</v>
      </c>
      <c r="K447" t="s">
        <v>148</v>
      </c>
      <c r="L447">
        <v>3.5</v>
      </c>
      <c r="M447" t="s">
        <v>149</v>
      </c>
      <c r="N447">
        <v>1</v>
      </c>
      <c r="O447">
        <v>4.3</v>
      </c>
      <c r="P447">
        <v>4</v>
      </c>
      <c r="Q447">
        <v>1750</v>
      </c>
      <c r="R447">
        <v>0.87070354100000003</v>
      </c>
      <c r="S447" t="s">
        <v>198</v>
      </c>
      <c r="Y447" t="s">
        <v>199</v>
      </c>
    </row>
    <row r="448" spans="1:25">
      <c r="A448" t="s">
        <v>628</v>
      </c>
      <c r="B448" s="113">
        <v>44251</v>
      </c>
      <c r="C448" t="s">
        <v>162</v>
      </c>
      <c r="D448" t="s">
        <v>163</v>
      </c>
      <c r="E448">
        <v>37</v>
      </c>
      <c r="F448">
        <v>610</v>
      </c>
      <c r="G448" t="s">
        <v>169</v>
      </c>
      <c r="H448">
        <v>86319.391029999999</v>
      </c>
      <c r="J448" t="s">
        <v>148</v>
      </c>
      <c r="K448" t="s">
        <v>148</v>
      </c>
      <c r="L448">
        <v>4.0999999999999996</v>
      </c>
      <c r="M448" t="s">
        <v>149</v>
      </c>
      <c r="N448">
        <v>3</v>
      </c>
      <c r="O448">
        <v>0.7</v>
      </c>
      <c r="P448">
        <v>4</v>
      </c>
      <c r="Q448">
        <v>800</v>
      </c>
      <c r="R448">
        <v>0.781228284</v>
      </c>
      <c r="S448" t="s">
        <v>150</v>
      </c>
      <c r="T448">
        <v>16</v>
      </c>
      <c r="U448">
        <v>0</v>
      </c>
      <c r="V448">
        <v>16</v>
      </c>
      <c r="W448">
        <v>0</v>
      </c>
      <c r="X448" t="s">
        <v>149</v>
      </c>
      <c r="Y448" t="s">
        <v>157</v>
      </c>
    </row>
    <row r="449" spans="1:25">
      <c r="A449" t="s">
        <v>629</v>
      </c>
      <c r="B449" s="113">
        <v>44253</v>
      </c>
      <c r="C449" t="s">
        <v>145</v>
      </c>
      <c r="D449" t="s">
        <v>172</v>
      </c>
      <c r="E449">
        <v>52</v>
      </c>
      <c r="F449">
        <v>753</v>
      </c>
      <c r="G449" t="s">
        <v>176</v>
      </c>
      <c r="H449">
        <v>60063.033889999999</v>
      </c>
      <c r="I449">
        <v>60063.033889999999</v>
      </c>
      <c r="J449" t="s">
        <v>148</v>
      </c>
      <c r="K449" t="s">
        <v>148</v>
      </c>
      <c r="L449">
        <v>6</v>
      </c>
      <c r="M449" t="s">
        <v>149</v>
      </c>
      <c r="N449">
        <v>0</v>
      </c>
      <c r="O449">
        <v>1.6</v>
      </c>
      <c r="P449">
        <v>1</v>
      </c>
      <c r="Q449">
        <v>800</v>
      </c>
      <c r="R449">
        <v>0.67179621300000003</v>
      </c>
      <c r="S449" t="s">
        <v>150</v>
      </c>
      <c r="T449">
        <v>20</v>
      </c>
      <c r="U449">
        <v>1</v>
      </c>
      <c r="V449">
        <v>20</v>
      </c>
      <c r="W449">
        <v>0</v>
      </c>
      <c r="X449" t="s">
        <v>149</v>
      </c>
      <c r="Y449" t="s">
        <v>157</v>
      </c>
    </row>
    <row r="450" spans="1:25">
      <c r="A450" t="s">
        <v>630</v>
      </c>
      <c r="B450" s="113">
        <v>44254</v>
      </c>
      <c r="C450" t="s">
        <v>162</v>
      </c>
      <c r="D450" t="s">
        <v>195</v>
      </c>
      <c r="E450">
        <v>53</v>
      </c>
      <c r="F450">
        <v>680</v>
      </c>
      <c r="G450" t="s">
        <v>169</v>
      </c>
      <c r="H450">
        <v>82473.002250000005</v>
      </c>
      <c r="I450">
        <v>82473.002250000005</v>
      </c>
      <c r="J450" t="s">
        <v>148</v>
      </c>
      <c r="K450" t="s">
        <v>148</v>
      </c>
      <c r="L450">
        <v>5.0999999999999996</v>
      </c>
      <c r="M450" t="s">
        <v>149</v>
      </c>
      <c r="N450">
        <v>3</v>
      </c>
      <c r="O450">
        <v>2.7</v>
      </c>
      <c r="P450">
        <v>2</v>
      </c>
      <c r="Q450">
        <v>1300</v>
      </c>
      <c r="R450">
        <v>0.54520281699999995</v>
      </c>
      <c r="S450" t="s">
        <v>150</v>
      </c>
      <c r="T450">
        <v>22</v>
      </c>
      <c r="U450">
        <v>1</v>
      </c>
      <c r="V450">
        <v>22</v>
      </c>
      <c r="W450">
        <v>0</v>
      </c>
      <c r="X450" t="s">
        <v>149</v>
      </c>
      <c r="Y450" t="s">
        <v>157</v>
      </c>
    </row>
    <row r="451" spans="1:25">
      <c r="A451" t="s">
        <v>631</v>
      </c>
      <c r="B451" s="113">
        <v>44257</v>
      </c>
      <c r="C451" t="s">
        <v>159</v>
      </c>
      <c r="D451" t="s">
        <v>160</v>
      </c>
      <c r="E451">
        <v>40</v>
      </c>
      <c r="F451">
        <v>713</v>
      </c>
      <c r="G451" t="s">
        <v>147</v>
      </c>
      <c r="H451">
        <v>54173.229749999999</v>
      </c>
      <c r="I451">
        <v>54173.229749999999</v>
      </c>
      <c r="J451" t="s">
        <v>156</v>
      </c>
      <c r="K451" t="s">
        <v>156</v>
      </c>
      <c r="L451">
        <v>0.4</v>
      </c>
      <c r="M451" t="s">
        <v>149</v>
      </c>
      <c r="N451">
        <v>3</v>
      </c>
      <c r="O451">
        <v>15.2</v>
      </c>
      <c r="P451">
        <v>4</v>
      </c>
      <c r="Q451">
        <v>1050</v>
      </c>
      <c r="R451">
        <v>0.404681978</v>
      </c>
      <c r="S451" t="s">
        <v>150</v>
      </c>
      <c r="T451">
        <v>17</v>
      </c>
      <c r="U451">
        <v>2</v>
      </c>
      <c r="V451">
        <v>17</v>
      </c>
      <c r="W451">
        <v>0</v>
      </c>
      <c r="X451" t="s">
        <v>149</v>
      </c>
      <c r="Y451" t="s">
        <v>157</v>
      </c>
    </row>
    <row r="452" spans="1:25">
      <c r="A452" t="s">
        <v>632</v>
      </c>
      <c r="B452" s="113">
        <v>44261</v>
      </c>
      <c r="C452" t="s">
        <v>159</v>
      </c>
      <c r="D452" t="s">
        <v>160</v>
      </c>
      <c r="E452">
        <v>27</v>
      </c>
      <c r="F452">
        <v>820</v>
      </c>
      <c r="G452" t="s">
        <v>155</v>
      </c>
      <c r="H452">
        <v>66831.664430000004</v>
      </c>
      <c r="I452">
        <v>66831.664430000004</v>
      </c>
      <c r="J452" t="s">
        <v>148</v>
      </c>
      <c r="K452" t="s">
        <v>148</v>
      </c>
      <c r="L452">
        <v>3.2</v>
      </c>
      <c r="M452" t="s">
        <v>149</v>
      </c>
      <c r="N452">
        <v>1</v>
      </c>
      <c r="O452">
        <v>6.1</v>
      </c>
      <c r="P452">
        <v>3</v>
      </c>
      <c r="Q452">
        <v>1150</v>
      </c>
      <c r="R452">
        <v>0.25382336300000002</v>
      </c>
      <c r="S452" t="s">
        <v>150</v>
      </c>
      <c r="T452">
        <v>18</v>
      </c>
      <c r="U452">
        <v>1</v>
      </c>
      <c r="V452">
        <v>18</v>
      </c>
      <c r="W452">
        <v>0</v>
      </c>
      <c r="X452" t="s">
        <v>149</v>
      </c>
      <c r="Y452" t="s">
        <v>157</v>
      </c>
    </row>
    <row r="453" spans="1:25">
      <c r="A453" t="s">
        <v>633</v>
      </c>
      <c r="B453" s="113">
        <v>44262</v>
      </c>
      <c r="C453" t="s">
        <v>162</v>
      </c>
      <c r="D453" t="s">
        <v>193</v>
      </c>
      <c r="E453">
        <v>23</v>
      </c>
      <c r="F453">
        <v>658</v>
      </c>
      <c r="G453" t="s">
        <v>147</v>
      </c>
      <c r="H453">
        <v>56917.69167</v>
      </c>
      <c r="I453">
        <v>56917.69167</v>
      </c>
      <c r="J453" t="s">
        <v>156</v>
      </c>
      <c r="K453" t="s">
        <v>166</v>
      </c>
      <c r="L453">
        <v>1.9</v>
      </c>
      <c r="M453" t="s">
        <v>149</v>
      </c>
      <c r="N453">
        <v>1</v>
      </c>
      <c r="O453">
        <v>0.2</v>
      </c>
      <c r="P453">
        <v>3</v>
      </c>
      <c r="Q453">
        <v>1250</v>
      </c>
      <c r="R453">
        <v>9.6480720000000006E-2</v>
      </c>
      <c r="S453" t="s">
        <v>150</v>
      </c>
      <c r="T453">
        <v>18</v>
      </c>
      <c r="U453">
        <v>0</v>
      </c>
      <c r="V453">
        <v>18</v>
      </c>
      <c r="W453">
        <v>0</v>
      </c>
      <c r="X453" t="s">
        <v>149</v>
      </c>
      <c r="Y453" t="s">
        <v>157</v>
      </c>
    </row>
    <row r="454" spans="1:25">
      <c r="A454" t="s">
        <v>634</v>
      </c>
      <c r="B454" s="113">
        <v>44273</v>
      </c>
      <c r="C454" t="s">
        <v>159</v>
      </c>
      <c r="D454" t="s">
        <v>168</v>
      </c>
      <c r="E454">
        <v>64</v>
      </c>
      <c r="F454">
        <v>660</v>
      </c>
      <c r="G454" t="s">
        <v>169</v>
      </c>
      <c r="H454">
        <v>17974.12845</v>
      </c>
      <c r="I454">
        <v>17974.12845</v>
      </c>
      <c r="J454" t="s">
        <v>148</v>
      </c>
      <c r="K454" t="s">
        <v>148</v>
      </c>
      <c r="L454">
        <v>1.3</v>
      </c>
      <c r="M454" t="s">
        <v>149</v>
      </c>
      <c r="N454">
        <v>2</v>
      </c>
      <c r="O454">
        <v>1.5</v>
      </c>
      <c r="P454">
        <v>0</v>
      </c>
      <c r="Q454">
        <v>1150</v>
      </c>
      <c r="R454">
        <v>6.3326565000000001E-2</v>
      </c>
      <c r="S454" t="s">
        <v>198</v>
      </c>
      <c r="Y454" t="s">
        <v>199</v>
      </c>
    </row>
    <row r="455" spans="1:25">
      <c r="A455" t="s">
        <v>635</v>
      </c>
      <c r="B455" s="113">
        <v>44276</v>
      </c>
      <c r="C455" t="s">
        <v>162</v>
      </c>
      <c r="D455" t="s">
        <v>179</v>
      </c>
      <c r="E455">
        <v>42</v>
      </c>
      <c r="F455">
        <v>656</v>
      </c>
      <c r="G455" t="s">
        <v>169</v>
      </c>
      <c r="H455">
        <v>43049.74424</v>
      </c>
      <c r="I455">
        <v>43049.74424</v>
      </c>
      <c r="J455" t="s">
        <v>170</v>
      </c>
      <c r="K455" t="s">
        <v>170</v>
      </c>
      <c r="L455">
        <v>2.2999999999999998</v>
      </c>
      <c r="M455" t="s">
        <v>149</v>
      </c>
      <c r="N455">
        <v>4</v>
      </c>
      <c r="O455">
        <v>7.1</v>
      </c>
      <c r="P455">
        <v>3</v>
      </c>
      <c r="Q455">
        <v>1650</v>
      </c>
      <c r="R455">
        <v>0.221516145</v>
      </c>
      <c r="S455" t="s">
        <v>150</v>
      </c>
      <c r="T455">
        <v>14</v>
      </c>
      <c r="U455">
        <v>0</v>
      </c>
      <c r="V455">
        <v>14</v>
      </c>
      <c r="W455">
        <v>0</v>
      </c>
      <c r="X455" t="s">
        <v>149</v>
      </c>
      <c r="Y455" t="s">
        <v>157</v>
      </c>
    </row>
    <row r="456" spans="1:25">
      <c r="A456" t="s">
        <v>636</v>
      </c>
      <c r="B456" s="113">
        <v>44278</v>
      </c>
      <c r="C456" t="s">
        <v>162</v>
      </c>
      <c r="D456" t="s">
        <v>187</v>
      </c>
      <c r="E456">
        <v>47</v>
      </c>
      <c r="F456">
        <v>644</v>
      </c>
      <c r="G456" t="s">
        <v>147</v>
      </c>
      <c r="H456">
        <v>16986.07704</v>
      </c>
      <c r="I456">
        <v>16986.07704</v>
      </c>
      <c r="J456" t="s">
        <v>156</v>
      </c>
      <c r="K456" t="s">
        <v>166</v>
      </c>
      <c r="L456">
        <v>0.7</v>
      </c>
      <c r="M456" t="s">
        <v>149</v>
      </c>
      <c r="N456">
        <v>4</v>
      </c>
      <c r="O456">
        <v>3</v>
      </c>
      <c r="P456">
        <v>3</v>
      </c>
      <c r="Q456">
        <v>1250</v>
      </c>
      <c r="R456">
        <v>0.37404699899999999</v>
      </c>
      <c r="S456" t="s">
        <v>198</v>
      </c>
      <c r="Y456" t="s">
        <v>199</v>
      </c>
    </row>
    <row r="457" spans="1:25">
      <c r="A457" t="s">
        <v>637</v>
      </c>
      <c r="B457" s="113">
        <v>44280</v>
      </c>
      <c r="C457" t="s">
        <v>162</v>
      </c>
      <c r="D457" t="s">
        <v>195</v>
      </c>
      <c r="E457">
        <v>34</v>
      </c>
      <c r="F457">
        <v>822</v>
      </c>
      <c r="G457" t="s">
        <v>169</v>
      </c>
      <c r="H457">
        <v>30952.095560000002</v>
      </c>
      <c r="J457" t="s">
        <v>156</v>
      </c>
      <c r="K457" t="s">
        <v>166</v>
      </c>
      <c r="L457">
        <v>0.2</v>
      </c>
      <c r="M457" t="s">
        <v>149</v>
      </c>
      <c r="N457">
        <v>2</v>
      </c>
      <c r="O457">
        <v>2</v>
      </c>
      <c r="P457">
        <v>2</v>
      </c>
      <c r="Q457">
        <v>1050</v>
      </c>
      <c r="R457">
        <v>0.51702266100000005</v>
      </c>
      <c r="S457" t="s">
        <v>150</v>
      </c>
      <c r="T457">
        <v>17</v>
      </c>
      <c r="U457">
        <v>0</v>
      </c>
      <c r="V457">
        <v>17</v>
      </c>
      <c r="W457">
        <v>0</v>
      </c>
      <c r="X457" t="s">
        <v>149</v>
      </c>
      <c r="Y457" t="s">
        <v>157</v>
      </c>
    </row>
    <row r="458" spans="1:25">
      <c r="A458" t="s">
        <v>638</v>
      </c>
      <c r="B458" s="113">
        <v>44280</v>
      </c>
      <c r="C458" t="s">
        <v>162</v>
      </c>
      <c r="D458" t="s">
        <v>163</v>
      </c>
      <c r="E458">
        <v>52</v>
      </c>
      <c r="F458">
        <v>788</v>
      </c>
      <c r="G458" t="s">
        <v>169</v>
      </c>
      <c r="H458">
        <v>61735.884050000001</v>
      </c>
      <c r="I458">
        <v>61735.884050000001</v>
      </c>
      <c r="J458" t="s">
        <v>170</v>
      </c>
      <c r="K458" t="s">
        <v>170</v>
      </c>
      <c r="L458">
        <v>0.7</v>
      </c>
      <c r="M458" t="s">
        <v>149</v>
      </c>
      <c r="N458">
        <v>1</v>
      </c>
      <c r="O458">
        <v>0.5</v>
      </c>
      <c r="P458">
        <v>3</v>
      </c>
      <c r="Q458">
        <v>1600</v>
      </c>
      <c r="R458">
        <v>0.64679075500000005</v>
      </c>
      <c r="S458" t="s">
        <v>150</v>
      </c>
      <c r="T458">
        <v>19</v>
      </c>
      <c r="U458">
        <v>0</v>
      </c>
      <c r="V458">
        <v>19</v>
      </c>
      <c r="W458">
        <v>0</v>
      </c>
      <c r="X458" t="s">
        <v>149</v>
      </c>
      <c r="Y458" t="s">
        <v>157</v>
      </c>
    </row>
    <row r="459" spans="1:25">
      <c r="A459" t="s">
        <v>639</v>
      </c>
      <c r="B459" s="113">
        <v>44281</v>
      </c>
      <c r="C459" t="s">
        <v>159</v>
      </c>
      <c r="D459" t="s">
        <v>165</v>
      </c>
      <c r="E459">
        <v>28</v>
      </c>
      <c r="F459">
        <v>734</v>
      </c>
      <c r="G459" t="s">
        <v>169</v>
      </c>
      <c r="H459">
        <v>38324.56596</v>
      </c>
      <c r="I459">
        <v>38324.56596</v>
      </c>
      <c r="J459" t="s">
        <v>249</v>
      </c>
      <c r="K459" t="s">
        <v>249</v>
      </c>
      <c r="L459">
        <v>8</v>
      </c>
      <c r="M459" t="s">
        <v>149</v>
      </c>
      <c r="N459">
        <v>3</v>
      </c>
      <c r="O459">
        <v>2.7</v>
      </c>
      <c r="P459">
        <v>3</v>
      </c>
      <c r="Q459">
        <v>1550</v>
      </c>
      <c r="R459">
        <v>0.76003629900000003</v>
      </c>
      <c r="S459" t="s">
        <v>150</v>
      </c>
      <c r="T459">
        <v>21</v>
      </c>
      <c r="U459">
        <v>0</v>
      </c>
      <c r="V459">
        <v>21</v>
      </c>
      <c r="W459">
        <v>0</v>
      </c>
      <c r="X459" t="s">
        <v>149</v>
      </c>
      <c r="Y459" t="s">
        <v>157</v>
      </c>
    </row>
    <row r="460" spans="1:25">
      <c r="A460" t="s">
        <v>640</v>
      </c>
      <c r="B460" s="113">
        <v>44281</v>
      </c>
      <c r="C460" t="s">
        <v>162</v>
      </c>
      <c r="D460" t="s">
        <v>190</v>
      </c>
      <c r="E460">
        <v>23</v>
      </c>
      <c r="F460">
        <v>589</v>
      </c>
      <c r="G460" t="s">
        <v>155</v>
      </c>
      <c r="H460">
        <v>55623.048260000003</v>
      </c>
      <c r="I460">
        <v>55623.048260000003</v>
      </c>
      <c r="J460" t="s">
        <v>148</v>
      </c>
      <c r="K460" t="s">
        <v>166</v>
      </c>
      <c r="L460">
        <v>0.6</v>
      </c>
      <c r="M460" t="s">
        <v>149</v>
      </c>
      <c r="N460">
        <v>2</v>
      </c>
      <c r="O460">
        <v>4.8</v>
      </c>
      <c r="P460">
        <v>2</v>
      </c>
      <c r="Q460">
        <v>1400</v>
      </c>
      <c r="R460">
        <v>0.85386638599999998</v>
      </c>
      <c r="S460" t="s">
        <v>150</v>
      </c>
      <c r="T460">
        <v>20</v>
      </c>
      <c r="U460">
        <v>0</v>
      </c>
      <c r="V460">
        <v>20</v>
      </c>
      <c r="W460">
        <v>0</v>
      </c>
      <c r="X460" t="s">
        <v>149</v>
      </c>
      <c r="Y460" t="s">
        <v>157</v>
      </c>
    </row>
    <row r="461" spans="1:25">
      <c r="A461" t="s">
        <v>641</v>
      </c>
      <c r="B461" s="113">
        <v>44282</v>
      </c>
      <c r="C461" t="s">
        <v>159</v>
      </c>
      <c r="D461" t="s">
        <v>209</v>
      </c>
      <c r="E461">
        <v>60</v>
      </c>
      <c r="F461">
        <v>761</v>
      </c>
      <c r="G461" t="s">
        <v>147</v>
      </c>
      <c r="H461">
        <v>24045.80258</v>
      </c>
      <c r="I461">
        <v>24045.80258</v>
      </c>
      <c r="J461" t="s">
        <v>148</v>
      </c>
      <c r="K461" t="s">
        <v>148</v>
      </c>
      <c r="L461">
        <v>2.4</v>
      </c>
      <c r="M461" t="s">
        <v>151</v>
      </c>
      <c r="N461">
        <v>2</v>
      </c>
      <c r="O461">
        <v>1.6</v>
      </c>
      <c r="P461">
        <v>2</v>
      </c>
      <c r="Q461">
        <v>1000</v>
      </c>
      <c r="R461">
        <v>0.92588408600000005</v>
      </c>
      <c r="S461" t="s">
        <v>198</v>
      </c>
      <c r="Y461" t="s">
        <v>199</v>
      </c>
    </row>
    <row r="462" spans="1:25">
      <c r="A462" t="s">
        <v>642</v>
      </c>
      <c r="B462" s="113">
        <v>44283</v>
      </c>
      <c r="C462" t="s">
        <v>159</v>
      </c>
      <c r="D462" t="s">
        <v>197</v>
      </c>
      <c r="E462">
        <v>26</v>
      </c>
      <c r="F462">
        <v>709</v>
      </c>
      <c r="G462" t="s">
        <v>147</v>
      </c>
      <c r="H462">
        <v>41711.844519999999</v>
      </c>
      <c r="I462">
        <v>41711.844519999999</v>
      </c>
      <c r="J462" t="s">
        <v>183</v>
      </c>
      <c r="K462" t="s">
        <v>166</v>
      </c>
      <c r="L462">
        <v>7.7</v>
      </c>
      <c r="M462" t="s">
        <v>149</v>
      </c>
      <c r="N462">
        <v>2</v>
      </c>
      <c r="O462">
        <v>0.3</v>
      </c>
      <c r="P462">
        <v>4</v>
      </c>
      <c r="Q462">
        <v>1750</v>
      </c>
      <c r="R462">
        <v>0.97424967699999998</v>
      </c>
      <c r="S462" t="s">
        <v>198</v>
      </c>
      <c r="Y462" t="s">
        <v>199</v>
      </c>
    </row>
    <row r="463" spans="1:25">
      <c r="A463" t="s">
        <v>643</v>
      </c>
      <c r="B463" s="113">
        <v>44288</v>
      </c>
      <c r="C463" t="s">
        <v>162</v>
      </c>
      <c r="D463" t="s">
        <v>187</v>
      </c>
      <c r="E463">
        <v>42</v>
      </c>
      <c r="F463">
        <v>529</v>
      </c>
      <c r="G463" t="s">
        <v>155</v>
      </c>
      <c r="H463">
        <v>22770.703829999999</v>
      </c>
      <c r="I463">
        <v>22770.703829999999</v>
      </c>
      <c r="J463" t="s">
        <v>148</v>
      </c>
      <c r="K463" t="s">
        <v>148</v>
      </c>
      <c r="L463">
        <v>0.3</v>
      </c>
      <c r="M463" t="s">
        <v>149</v>
      </c>
      <c r="N463">
        <v>1</v>
      </c>
      <c r="O463">
        <v>3.1</v>
      </c>
      <c r="P463">
        <v>3</v>
      </c>
      <c r="Q463">
        <v>1150</v>
      </c>
      <c r="R463">
        <v>0.997727637</v>
      </c>
      <c r="S463" t="s">
        <v>198</v>
      </c>
      <c r="Y463" t="s">
        <v>199</v>
      </c>
    </row>
    <row r="464" spans="1:25">
      <c r="A464" t="s">
        <v>644</v>
      </c>
      <c r="B464" s="113">
        <v>44289</v>
      </c>
      <c r="C464" t="s">
        <v>159</v>
      </c>
      <c r="D464" t="s">
        <v>168</v>
      </c>
      <c r="E464">
        <v>44</v>
      </c>
      <c r="F464">
        <v>761</v>
      </c>
      <c r="G464" t="s">
        <v>155</v>
      </c>
      <c r="H464">
        <v>38553.315060000001</v>
      </c>
      <c r="I464">
        <v>38553.315060000001</v>
      </c>
      <c r="J464" t="s">
        <v>156</v>
      </c>
      <c r="K464" t="s">
        <v>156</v>
      </c>
      <c r="L464">
        <v>2.1</v>
      </c>
      <c r="M464" t="s">
        <v>149</v>
      </c>
      <c r="N464">
        <v>1</v>
      </c>
      <c r="O464">
        <v>3.4</v>
      </c>
      <c r="P464">
        <v>2</v>
      </c>
      <c r="Q464">
        <v>1300</v>
      </c>
      <c r="R464">
        <v>0.99571821199999999</v>
      </c>
      <c r="S464" t="s">
        <v>150</v>
      </c>
      <c r="T464">
        <v>16</v>
      </c>
      <c r="U464">
        <v>1</v>
      </c>
      <c r="V464">
        <v>16</v>
      </c>
      <c r="W464">
        <v>0</v>
      </c>
      <c r="X464" t="s">
        <v>149</v>
      </c>
      <c r="Y464" t="s">
        <v>157</v>
      </c>
    </row>
    <row r="465" spans="1:25">
      <c r="A465" t="s">
        <v>645</v>
      </c>
      <c r="B465" s="113">
        <v>44299</v>
      </c>
      <c r="C465" t="s">
        <v>162</v>
      </c>
      <c r="D465" t="s">
        <v>190</v>
      </c>
      <c r="E465">
        <v>38</v>
      </c>
      <c r="F465">
        <v>634</v>
      </c>
      <c r="G465" t="s">
        <v>155</v>
      </c>
      <c r="H465">
        <v>121605.7056</v>
      </c>
      <c r="I465">
        <v>121605.7056</v>
      </c>
      <c r="J465" t="s">
        <v>148</v>
      </c>
      <c r="K465" t="s">
        <v>148</v>
      </c>
      <c r="L465">
        <v>5.4</v>
      </c>
      <c r="M465" t="s">
        <v>151</v>
      </c>
      <c r="N465">
        <v>2</v>
      </c>
      <c r="O465">
        <v>10.5</v>
      </c>
      <c r="P465">
        <v>2</v>
      </c>
      <c r="Q465">
        <v>800</v>
      </c>
      <c r="R465">
        <v>0.968272735</v>
      </c>
      <c r="S465" t="s">
        <v>150</v>
      </c>
      <c r="T465">
        <v>20</v>
      </c>
      <c r="U465">
        <v>0</v>
      </c>
      <c r="V465">
        <v>20</v>
      </c>
      <c r="W465">
        <v>0</v>
      </c>
      <c r="X465" t="s">
        <v>149</v>
      </c>
      <c r="Y465" t="s">
        <v>157</v>
      </c>
    </row>
    <row r="466" spans="1:25">
      <c r="A466" t="s">
        <v>646</v>
      </c>
      <c r="B466" s="113">
        <v>44299</v>
      </c>
      <c r="C466" t="s">
        <v>145</v>
      </c>
      <c r="D466" t="s">
        <v>172</v>
      </c>
      <c r="E466">
        <v>59</v>
      </c>
      <c r="F466">
        <v>469</v>
      </c>
      <c r="G466" t="s">
        <v>155</v>
      </c>
      <c r="H466">
        <v>56390.121789999997</v>
      </c>
      <c r="I466">
        <v>56390.121789999997</v>
      </c>
      <c r="J466" t="s">
        <v>148</v>
      </c>
      <c r="K466" t="s">
        <v>148</v>
      </c>
      <c r="L466">
        <v>0.9</v>
      </c>
      <c r="M466" t="s">
        <v>149</v>
      </c>
      <c r="N466">
        <v>3</v>
      </c>
      <c r="O466">
        <v>1.4</v>
      </c>
      <c r="P466">
        <v>3</v>
      </c>
      <c r="Q466">
        <v>1100</v>
      </c>
      <c r="R466">
        <v>0.91609231000000002</v>
      </c>
      <c r="S466" t="s">
        <v>150</v>
      </c>
      <c r="T466">
        <v>14</v>
      </c>
      <c r="U466">
        <v>0</v>
      </c>
      <c r="V466">
        <v>14</v>
      </c>
      <c r="W466">
        <v>0</v>
      </c>
      <c r="X466" t="s">
        <v>151</v>
      </c>
      <c r="Y466" t="s">
        <v>152</v>
      </c>
    </row>
    <row r="467" spans="1:25">
      <c r="A467" t="s">
        <v>647</v>
      </c>
      <c r="B467" s="113">
        <v>44302</v>
      </c>
      <c r="C467" t="s">
        <v>162</v>
      </c>
      <c r="D467" t="s">
        <v>187</v>
      </c>
      <c r="E467">
        <v>56</v>
      </c>
      <c r="F467">
        <v>811</v>
      </c>
      <c r="G467" t="s">
        <v>155</v>
      </c>
      <c r="H467">
        <v>47656.481890000003</v>
      </c>
      <c r="I467">
        <v>47656.481890000003</v>
      </c>
      <c r="J467" t="s">
        <v>148</v>
      </c>
      <c r="K467" t="s">
        <v>166</v>
      </c>
      <c r="L467">
        <v>2.2000000000000002</v>
      </c>
      <c r="M467" t="s">
        <v>151</v>
      </c>
      <c r="N467">
        <v>0</v>
      </c>
      <c r="O467">
        <v>0.2</v>
      </c>
      <c r="P467">
        <v>3</v>
      </c>
      <c r="Q467">
        <v>1600</v>
      </c>
      <c r="R467">
        <v>0.84050991100000005</v>
      </c>
      <c r="S467" t="s">
        <v>198</v>
      </c>
      <c r="Y467" t="s">
        <v>199</v>
      </c>
    </row>
    <row r="468" spans="1:25">
      <c r="A468" t="s">
        <v>648</v>
      </c>
      <c r="B468" s="113">
        <v>44303</v>
      </c>
      <c r="C468" t="s">
        <v>162</v>
      </c>
      <c r="D468" t="s">
        <v>163</v>
      </c>
      <c r="E468">
        <v>67</v>
      </c>
      <c r="F468">
        <v>567</v>
      </c>
      <c r="G468" t="s">
        <v>147</v>
      </c>
      <c r="H468">
        <v>52667.759480000001</v>
      </c>
      <c r="I468">
        <v>52667.759480000001</v>
      </c>
      <c r="J468" t="s">
        <v>249</v>
      </c>
      <c r="K468" t="s">
        <v>249</v>
      </c>
      <c r="L468">
        <v>5.4</v>
      </c>
      <c r="M468" t="s">
        <v>149</v>
      </c>
      <c r="N468">
        <v>3</v>
      </c>
      <c r="O468">
        <v>0.2</v>
      </c>
      <c r="P468">
        <v>1</v>
      </c>
      <c r="Q468">
        <v>1450</v>
      </c>
      <c r="R468">
        <v>0.743456322</v>
      </c>
      <c r="S468" t="s">
        <v>150</v>
      </c>
      <c r="T468">
        <v>21</v>
      </c>
      <c r="U468">
        <v>1</v>
      </c>
      <c r="V468">
        <v>21</v>
      </c>
      <c r="W468">
        <v>0</v>
      </c>
      <c r="X468" t="s">
        <v>149</v>
      </c>
      <c r="Y468" t="s">
        <v>157</v>
      </c>
    </row>
    <row r="469" spans="1:25">
      <c r="A469" t="s">
        <v>649</v>
      </c>
      <c r="B469" s="113">
        <v>44306</v>
      </c>
      <c r="C469" t="s">
        <v>159</v>
      </c>
      <c r="D469" t="s">
        <v>197</v>
      </c>
      <c r="E469">
        <v>55</v>
      </c>
      <c r="F469">
        <v>633</v>
      </c>
      <c r="G469" t="s">
        <v>155</v>
      </c>
      <c r="H469">
        <v>95484.140719999996</v>
      </c>
      <c r="I469">
        <v>95484.140719999996</v>
      </c>
      <c r="J469" t="s">
        <v>156</v>
      </c>
      <c r="K469" t="s">
        <v>156</v>
      </c>
      <c r="L469">
        <v>10.5</v>
      </c>
      <c r="M469" t="s">
        <v>149</v>
      </c>
      <c r="N469">
        <v>0</v>
      </c>
      <c r="O469">
        <v>4.2</v>
      </c>
      <c r="P469">
        <v>4</v>
      </c>
      <c r="Q469">
        <v>1550</v>
      </c>
      <c r="R469">
        <v>0.62741082000000004</v>
      </c>
      <c r="S469" t="s">
        <v>150</v>
      </c>
      <c r="T469">
        <v>16</v>
      </c>
      <c r="U469">
        <v>1</v>
      </c>
      <c r="V469">
        <v>16</v>
      </c>
      <c r="W469">
        <v>0</v>
      </c>
      <c r="X469" t="s">
        <v>149</v>
      </c>
      <c r="Y469" t="s">
        <v>157</v>
      </c>
    </row>
    <row r="470" spans="1:25">
      <c r="A470" t="s">
        <v>650</v>
      </c>
      <c r="B470" s="113">
        <v>44313</v>
      </c>
      <c r="C470" t="s">
        <v>162</v>
      </c>
      <c r="D470" t="s">
        <v>195</v>
      </c>
      <c r="E470">
        <v>61</v>
      </c>
      <c r="F470">
        <v>691</v>
      </c>
      <c r="G470" t="s">
        <v>176</v>
      </c>
      <c r="H470">
        <v>40651.48461</v>
      </c>
      <c r="I470">
        <v>40651.48461</v>
      </c>
      <c r="J470" t="s">
        <v>148</v>
      </c>
      <c r="K470" t="s">
        <v>148</v>
      </c>
      <c r="L470">
        <v>19.3</v>
      </c>
      <c r="M470" t="s">
        <v>149</v>
      </c>
      <c r="N470">
        <v>0</v>
      </c>
      <c r="O470">
        <v>2.4</v>
      </c>
      <c r="P470">
        <v>3</v>
      </c>
      <c r="Q470">
        <v>800</v>
      </c>
      <c r="R470">
        <v>0.49533783599999998</v>
      </c>
      <c r="S470" t="s">
        <v>198</v>
      </c>
      <c r="Y470" t="s">
        <v>199</v>
      </c>
    </row>
    <row r="471" spans="1:25">
      <c r="A471" t="s">
        <v>651</v>
      </c>
      <c r="B471" s="113">
        <v>44314</v>
      </c>
      <c r="C471" t="s">
        <v>162</v>
      </c>
      <c r="D471" t="s">
        <v>187</v>
      </c>
      <c r="E471">
        <v>43</v>
      </c>
      <c r="F471">
        <v>780</v>
      </c>
      <c r="G471" t="s">
        <v>147</v>
      </c>
      <c r="H471">
        <v>50100.406710000003</v>
      </c>
      <c r="I471">
        <v>50100.406710000003</v>
      </c>
      <c r="J471" t="s">
        <v>148</v>
      </c>
      <c r="K471" t="s">
        <v>148</v>
      </c>
      <c r="L471">
        <v>17.899999999999999</v>
      </c>
      <c r="M471" t="s">
        <v>149</v>
      </c>
      <c r="N471">
        <v>2</v>
      </c>
      <c r="O471">
        <v>5.4</v>
      </c>
      <c r="P471">
        <v>3</v>
      </c>
      <c r="Q471">
        <v>1500</v>
      </c>
      <c r="R471">
        <v>0.35061123199999999</v>
      </c>
      <c r="S471" t="s">
        <v>150</v>
      </c>
      <c r="T471">
        <v>14</v>
      </c>
      <c r="U471">
        <v>0</v>
      </c>
      <c r="V471">
        <v>14</v>
      </c>
      <c r="W471">
        <v>0</v>
      </c>
      <c r="X471" t="s">
        <v>149</v>
      </c>
      <c r="Y471" t="s">
        <v>157</v>
      </c>
    </row>
    <row r="472" spans="1:25">
      <c r="A472" t="s">
        <v>652</v>
      </c>
      <c r="B472" s="113">
        <v>44317</v>
      </c>
      <c r="C472" t="s">
        <v>162</v>
      </c>
      <c r="D472" t="s">
        <v>193</v>
      </c>
      <c r="E472">
        <v>59</v>
      </c>
      <c r="F472">
        <v>833</v>
      </c>
      <c r="G472" t="s">
        <v>155</v>
      </c>
      <c r="H472">
        <v>63231.911760000003</v>
      </c>
      <c r="I472">
        <v>63231.911760000003</v>
      </c>
      <c r="J472" t="s">
        <v>148</v>
      </c>
      <c r="K472" t="s">
        <v>148</v>
      </c>
      <c r="L472">
        <v>11.1</v>
      </c>
      <c r="M472" t="s">
        <v>151</v>
      </c>
      <c r="N472">
        <v>3</v>
      </c>
      <c r="O472">
        <v>2.6</v>
      </c>
      <c r="P472">
        <v>3</v>
      </c>
      <c r="Q472">
        <v>1300</v>
      </c>
      <c r="R472">
        <v>0.19692811199999999</v>
      </c>
      <c r="S472" t="s">
        <v>150</v>
      </c>
      <c r="T472">
        <v>19</v>
      </c>
      <c r="U472">
        <v>0</v>
      </c>
      <c r="V472">
        <v>19</v>
      </c>
      <c r="W472">
        <v>0</v>
      </c>
      <c r="X472" t="s">
        <v>149</v>
      </c>
      <c r="Y472" t="s">
        <v>157</v>
      </c>
    </row>
    <row r="473" spans="1:25">
      <c r="A473" t="s">
        <v>653</v>
      </c>
      <c r="B473" s="113">
        <v>44324</v>
      </c>
      <c r="C473" t="s">
        <v>162</v>
      </c>
      <c r="D473" t="s">
        <v>195</v>
      </c>
      <c r="E473">
        <v>54</v>
      </c>
      <c r="F473">
        <v>707</v>
      </c>
      <c r="G473" t="s">
        <v>176</v>
      </c>
      <c r="H473">
        <v>126646.667</v>
      </c>
      <c r="I473">
        <v>126646.667</v>
      </c>
      <c r="J473" t="s">
        <v>148</v>
      </c>
      <c r="K473" t="s">
        <v>148</v>
      </c>
      <c r="L473">
        <v>5.3</v>
      </c>
      <c r="M473" t="s">
        <v>151</v>
      </c>
      <c r="N473">
        <v>1</v>
      </c>
      <c r="O473">
        <v>8.1</v>
      </c>
      <c r="P473">
        <v>2</v>
      </c>
      <c r="Q473">
        <v>1050</v>
      </c>
      <c r="R473">
        <v>3.8214379E-2</v>
      </c>
      <c r="S473" t="s">
        <v>150</v>
      </c>
      <c r="T473">
        <v>14</v>
      </c>
      <c r="U473">
        <v>0</v>
      </c>
      <c r="V473">
        <v>14</v>
      </c>
      <c r="W473">
        <v>0</v>
      </c>
      <c r="X473" t="s">
        <v>151</v>
      </c>
      <c r="Y473" t="s">
        <v>152</v>
      </c>
    </row>
    <row r="474" spans="1:25">
      <c r="A474" t="s">
        <v>654</v>
      </c>
      <c r="B474" s="113">
        <v>44326</v>
      </c>
      <c r="C474" t="s">
        <v>162</v>
      </c>
      <c r="D474" t="s">
        <v>195</v>
      </c>
      <c r="E474">
        <v>41</v>
      </c>
      <c r="F474">
        <v>484</v>
      </c>
      <c r="G474" t="s">
        <v>155</v>
      </c>
      <c r="H474">
        <v>51910.315110000003</v>
      </c>
      <c r="I474">
        <v>51910.315110000003</v>
      </c>
      <c r="J474" t="s">
        <v>249</v>
      </c>
      <c r="K474" t="s">
        <v>249</v>
      </c>
      <c r="L474">
        <v>14.1</v>
      </c>
      <c r="M474" t="s">
        <v>149</v>
      </c>
      <c r="N474">
        <v>3</v>
      </c>
      <c r="O474">
        <v>0.1</v>
      </c>
      <c r="P474">
        <v>3</v>
      </c>
      <c r="Q474">
        <v>1350</v>
      </c>
      <c r="R474">
        <v>0.121475557</v>
      </c>
      <c r="S474" t="s">
        <v>150</v>
      </c>
      <c r="T474">
        <v>14</v>
      </c>
      <c r="U474">
        <v>1</v>
      </c>
      <c r="V474">
        <v>14</v>
      </c>
      <c r="W474">
        <v>0</v>
      </c>
      <c r="X474" t="s">
        <v>149</v>
      </c>
      <c r="Y474" t="s">
        <v>157</v>
      </c>
    </row>
    <row r="475" spans="1:25">
      <c r="A475" t="s">
        <v>655</v>
      </c>
      <c r="B475" s="113">
        <v>44326</v>
      </c>
      <c r="C475" t="s">
        <v>162</v>
      </c>
      <c r="D475" t="s">
        <v>187</v>
      </c>
      <c r="E475">
        <v>48</v>
      </c>
      <c r="F475">
        <v>705</v>
      </c>
      <c r="G475" t="s">
        <v>155</v>
      </c>
      <c r="H475">
        <v>59773.452530000002</v>
      </c>
      <c r="J475" t="s">
        <v>148</v>
      </c>
      <c r="K475" t="s">
        <v>148</v>
      </c>
      <c r="L475">
        <v>0.3</v>
      </c>
      <c r="M475" t="s">
        <v>149</v>
      </c>
      <c r="N475">
        <v>1</v>
      </c>
      <c r="O475">
        <v>6.8</v>
      </c>
      <c r="P475">
        <v>2</v>
      </c>
      <c r="Q475">
        <v>1350</v>
      </c>
      <c r="R475">
        <v>0.27806234800000001</v>
      </c>
      <c r="S475" t="s">
        <v>150</v>
      </c>
      <c r="T475">
        <v>11</v>
      </c>
      <c r="U475">
        <v>0</v>
      </c>
      <c r="V475">
        <v>11</v>
      </c>
      <c r="W475">
        <v>0</v>
      </c>
      <c r="X475" t="s">
        <v>151</v>
      </c>
      <c r="Y475" t="s">
        <v>152</v>
      </c>
    </row>
    <row r="476" spans="1:25">
      <c r="A476" t="s">
        <v>656</v>
      </c>
      <c r="B476" s="113">
        <v>44328</v>
      </c>
      <c r="C476" t="s">
        <v>162</v>
      </c>
      <c r="D476" t="s">
        <v>179</v>
      </c>
      <c r="E476">
        <v>36</v>
      </c>
      <c r="F476">
        <v>720</v>
      </c>
      <c r="G476" t="s">
        <v>176</v>
      </c>
      <c r="H476">
        <v>50467.174460000002</v>
      </c>
      <c r="I476">
        <v>50467.174460000002</v>
      </c>
      <c r="J476" t="s">
        <v>156</v>
      </c>
      <c r="K476" t="s">
        <v>166</v>
      </c>
      <c r="L476">
        <v>1.7</v>
      </c>
      <c r="M476" t="s">
        <v>149</v>
      </c>
      <c r="N476">
        <v>1</v>
      </c>
      <c r="O476">
        <v>6.5</v>
      </c>
      <c r="P476">
        <v>3</v>
      </c>
      <c r="Q476">
        <v>1150</v>
      </c>
      <c r="R476">
        <v>0.427545915</v>
      </c>
      <c r="S476" t="s">
        <v>150</v>
      </c>
      <c r="T476">
        <v>18</v>
      </c>
      <c r="U476">
        <v>0</v>
      </c>
      <c r="V476">
        <v>18</v>
      </c>
      <c r="W476">
        <v>0</v>
      </c>
      <c r="X476" t="s">
        <v>151</v>
      </c>
      <c r="Y476" t="s">
        <v>152</v>
      </c>
    </row>
    <row r="477" spans="1:25">
      <c r="A477" t="s">
        <v>657</v>
      </c>
      <c r="B477" s="113">
        <v>44330</v>
      </c>
      <c r="C477" t="s">
        <v>159</v>
      </c>
      <c r="D477" t="s">
        <v>168</v>
      </c>
      <c r="E477">
        <v>35</v>
      </c>
      <c r="F477">
        <v>651</v>
      </c>
      <c r="G477" t="s">
        <v>176</v>
      </c>
      <c r="H477">
        <v>20203.082579999998</v>
      </c>
      <c r="I477">
        <v>20203.082579999998</v>
      </c>
      <c r="J477" t="s">
        <v>148</v>
      </c>
      <c r="K477" t="s">
        <v>148</v>
      </c>
      <c r="L477">
        <v>3.9</v>
      </c>
      <c r="M477" t="s">
        <v>149</v>
      </c>
      <c r="N477">
        <v>3</v>
      </c>
      <c r="O477">
        <v>0.3</v>
      </c>
      <c r="P477">
        <v>4</v>
      </c>
      <c r="Q477">
        <v>1100</v>
      </c>
      <c r="R477">
        <v>0.566107637</v>
      </c>
      <c r="S477" t="s">
        <v>198</v>
      </c>
      <c r="Y477" t="s">
        <v>199</v>
      </c>
    </row>
    <row r="478" spans="1:25">
      <c r="A478" t="s">
        <v>658</v>
      </c>
      <c r="B478" s="113">
        <v>44330</v>
      </c>
      <c r="C478" t="s">
        <v>159</v>
      </c>
      <c r="D478" t="s">
        <v>160</v>
      </c>
      <c r="E478">
        <v>32</v>
      </c>
      <c r="F478">
        <v>789</v>
      </c>
      <c r="G478" t="s">
        <v>155</v>
      </c>
      <c r="H478">
        <v>35799.574650000002</v>
      </c>
      <c r="J478" t="s">
        <v>148</v>
      </c>
      <c r="K478" t="s">
        <v>148</v>
      </c>
      <c r="L478">
        <v>0.4</v>
      </c>
      <c r="M478" t="s">
        <v>149</v>
      </c>
      <c r="N478">
        <v>6</v>
      </c>
      <c r="O478">
        <v>13.5</v>
      </c>
      <c r="P478">
        <v>4</v>
      </c>
      <c r="Q478">
        <v>1600</v>
      </c>
      <c r="R478">
        <v>0.69020789400000004</v>
      </c>
      <c r="S478" t="s">
        <v>150</v>
      </c>
      <c r="T478">
        <v>13</v>
      </c>
      <c r="U478">
        <v>0</v>
      </c>
      <c r="V478">
        <v>13</v>
      </c>
      <c r="W478">
        <v>0</v>
      </c>
      <c r="X478" t="s">
        <v>149</v>
      </c>
      <c r="Y478" t="s">
        <v>157</v>
      </c>
    </row>
    <row r="479" spans="1:25">
      <c r="A479" t="s">
        <v>659</v>
      </c>
      <c r="B479" s="113">
        <v>44331</v>
      </c>
      <c r="C479" t="s">
        <v>162</v>
      </c>
      <c r="D479" t="s">
        <v>179</v>
      </c>
      <c r="E479">
        <v>34</v>
      </c>
      <c r="F479">
        <v>776</v>
      </c>
      <c r="G479" t="s">
        <v>147</v>
      </c>
      <c r="H479">
        <v>56192.21024</v>
      </c>
      <c r="I479">
        <v>56192.21024</v>
      </c>
      <c r="J479" t="s">
        <v>156</v>
      </c>
      <c r="K479" t="s">
        <v>156</v>
      </c>
      <c r="L479">
        <v>1.1000000000000001</v>
      </c>
      <c r="M479" t="s">
        <v>149</v>
      </c>
      <c r="N479">
        <v>2</v>
      </c>
      <c r="O479">
        <v>0.2</v>
      </c>
      <c r="P479">
        <v>4</v>
      </c>
      <c r="Q479">
        <v>1450</v>
      </c>
      <c r="R479">
        <v>0.79667649100000004</v>
      </c>
      <c r="S479" t="s">
        <v>150</v>
      </c>
      <c r="T479">
        <v>7</v>
      </c>
      <c r="U479">
        <v>0</v>
      </c>
      <c r="V479">
        <v>7</v>
      </c>
      <c r="W479">
        <v>0</v>
      </c>
      <c r="X479" t="s">
        <v>151</v>
      </c>
      <c r="Y479" t="s">
        <v>152</v>
      </c>
    </row>
    <row r="480" spans="1:25">
      <c r="A480" t="s">
        <v>660</v>
      </c>
      <c r="B480" s="113">
        <v>44332</v>
      </c>
      <c r="C480" t="s">
        <v>145</v>
      </c>
      <c r="D480" t="s">
        <v>146</v>
      </c>
      <c r="E480">
        <v>51</v>
      </c>
      <c r="F480">
        <v>709</v>
      </c>
      <c r="G480" t="s">
        <v>169</v>
      </c>
      <c r="H480">
        <v>64227.792179999997</v>
      </c>
      <c r="J480" t="s">
        <v>148</v>
      </c>
      <c r="K480" t="s">
        <v>148</v>
      </c>
      <c r="L480">
        <v>0.2</v>
      </c>
      <c r="M480" t="s">
        <v>149</v>
      </c>
      <c r="N480">
        <v>1</v>
      </c>
      <c r="O480">
        <v>1.7</v>
      </c>
      <c r="P480">
        <v>3</v>
      </c>
      <c r="Q480">
        <v>1500</v>
      </c>
      <c r="R480">
        <v>0.88279364199999999</v>
      </c>
      <c r="S480" t="s">
        <v>150</v>
      </c>
      <c r="T480">
        <v>13</v>
      </c>
      <c r="U480">
        <v>0</v>
      </c>
      <c r="V480">
        <v>13</v>
      </c>
      <c r="W480">
        <v>0</v>
      </c>
      <c r="X480" t="s">
        <v>149</v>
      </c>
      <c r="Y480" t="s">
        <v>157</v>
      </c>
    </row>
    <row r="481" spans="1:25">
      <c r="A481" t="s">
        <v>661</v>
      </c>
      <c r="B481" s="113">
        <v>44333</v>
      </c>
      <c r="C481" t="s">
        <v>159</v>
      </c>
      <c r="D481" t="s">
        <v>168</v>
      </c>
      <c r="E481">
        <v>61</v>
      </c>
      <c r="F481">
        <v>675</v>
      </c>
      <c r="G481" t="s">
        <v>147</v>
      </c>
      <c r="H481">
        <v>23282.436590000001</v>
      </c>
      <c r="I481">
        <v>23282.436590000001</v>
      </c>
      <c r="J481" t="s">
        <v>148</v>
      </c>
      <c r="K481" t="s">
        <v>148</v>
      </c>
      <c r="L481">
        <v>0</v>
      </c>
      <c r="M481" t="s">
        <v>149</v>
      </c>
      <c r="N481">
        <v>3</v>
      </c>
      <c r="O481">
        <v>10</v>
      </c>
      <c r="P481">
        <v>2</v>
      </c>
      <c r="Q481">
        <v>1800</v>
      </c>
      <c r="R481">
        <v>0.94635944699999996</v>
      </c>
      <c r="S481" t="s">
        <v>198</v>
      </c>
      <c r="Y481" t="s">
        <v>199</v>
      </c>
    </row>
    <row r="482" spans="1:25">
      <c r="A482" t="s">
        <v>662</v>
      </c>
      <c r="B482" s="113">
        <v>44334</v>
      </c>
      <c r="C482" t="s">
        <v>162</v>
      </c>
      <c r="D482" t="s">
        <v>190</v>
      </c>
      <c r="E482">
        <v>31</v>
      </c>
      <c r="F482">
        <v>608</v>
      </c>
      <c r="G482" t="s">
        <v>176</v>
      </c>
      <c r="H482">
        <v>24642.973030000001</v>
      </c>
      <c r="J482" t="s">
        <v>156</v>
      </c>
      <c r="K482" t="s">
        <v>156</v>
      </c>
      <c r="L482">
        <v>4.0999999999999996</v>
      </c>
      <c r="M482" t="s">
        <v>149</v>
      </c>
      <c r="N482">
        <v>5</v>
      </c>
      <c r="O482">
        <v>5.9</v>
      </c>
      <c r="P482">
        <v>2</v>
      </c>
      <c r="Q482">
        <v>1950</v>
      </c>
      <c r="R482">
        <v>0.98575009000000002</v>
      </c>
      <c r="S482" t="s">
        <v>150</v>
      </c>
      <c r="T482">
        <v>21</v>
      </c>
      <c r="U482">
        <v>0</v>
      </c>
      <c r="V482">
        <v>21</v>
      </c>
      <c r="W482">
        <v>0</v>
      </c>
      <c r="X482" t="s">
        <v>149</v>
      </c>
      <c r="Y482" t="s">
        <v>157</v>
      </c>
    </row>
    <row r="483" spans="1:25">
      <c r="A483" t="s">
        <v>663</v>
      </c>
      <c r="B483" s="113">
        <v>44334</v>
      </c>
      <c r="C483" t="s">
        <v>159</v>
      </c>
      <c r="D483" t="s">
        <v>165</v>
      </c>
      <c r="E483">
        <v>43</v>
      </c>
      <c r="F483">
        <v>664</v>
      </c>
      <c r="G483" t="s">
        <v>176</v>
      </c>
      <c r="H483">
        <v>19015.805380000002</v>
      </c>
      <c r="I483">
        <v>19015.805380000002</v>
      </c>
      <c r="J483" t="s">
        <v>170</v>
      </c>
      <c r="K483" t="s">
        <v>170</v>
      </c>
      <c r="L483">
        <v>1.9</v>
      </c>
      <c r="M483" t="s">
        <v>149</v>
      </c>
      <c r="N483">
        <v>3</v>
      </c>
      <c r="O483">
        <v>0.2</v>
      </c>
      <c r="P483">
        <v>4</v>
      </c>
      <c r="Q483">
        <v>1100</v>
      </c>
      <c r="R483">
        <v>0.99995931999999998</v>
      </c>
      <c r="S483" t="s">
        <v>198</v>
      </c>
      <c r="Y483" t="s">
        <v>199</v>
      </c>
    </row>
    <row r="484" spans="1:25">
      <c r="A484" t="s">
        <v>664</v>
      </c>
      <c r="B484" s="113">
        <v>44336</v>
      </c>
      <c r="C484" t="s">
        <v>162</v>
      </c>
      <c r="D484" t="s">
        <v>190</v>
      </c>
      <c r="E484">
        <v>50</v>
      </c>
      <c r="F484">
        <v>546</v>
      </c>
      <c r="G484" t="s">
        <v>147</v>
      </c>
      <c r="H484">
        <v>29703.582180000001</v>
      </c>
      <c r="J484" t="s">
        <v>148</v>
      </c>
      <c r="K484" t="s">
        <v>148</v>
      </c>
      <c r="L484">
        <v>1.2</v>
      </c>
      <c r="M484" t="s">
        <v>149</v>
      </c>
      <c r="N484">
        <v>6</v>
      </c>
      <c r="O484">
        <v>1.2</v>
      </c>
      <c r="P484">
        <v>2</v>
      </c>
      <c r="Q484">
        <v>1300</v>
      </c>
      <c r="R484">
        <v>0.98862415599999998</v>
      </c>
      <c r="S484" t="s">
        <v>150</v>
      </c>
      <c r="T484">
        <v>13</v>
      </c>
      <c r="U484">
        <v>1</v>
      </c>
      <c r="V484">
        <v>13</v>
      </c>
      <c r="W484">
        <v>0</v>
      </c>
      <c r="X484" t="s">
        <v>151</v>
      </c>
      <c r="Y484" t="s">
        <v>152</v>
      </c>
    </row>
    <row r="485" spans="1:25">
      <c r="A485" t="s">
        <v>665</v>
      </c>
      <c r="B485" s="113">
        <v>44337</v>
      </c>
      <c r="C485" t="s">
        <v>145</v>
      </c>
      <c r="D485" t="s">
        <v>172</v>
      </c>
      <c r="E485">
        <v>46</v>
      </c>
      <c r="F485">
        <v>804</v>
      </c>
      <c r="G485" t="s">
        <v>169</v>
      </c>
      <c r="H485">
        <v>80166.487240000002</v>
      </c>
      <c r="I485">
        <v>80166.487240000002</v>
      </c>
      <c r="J485" t="s">
        <v>148</v>
      </c>
      <c r="K485" t="s">
        <v>148</v>
      </c>
      <c r="L485">
        <v>4.9000000000000004</v>
      </c>
      <c r="M485" t="s">
        <v>149</v>
      </c>
      <c r="N485">
        <v>3</v>
      </c>
      <c r="O485">
        <v>4.5999999999999996</v>
      </c>
      <c r="P485">
        <v>2</v>
      </c>
      <c r="Q485">
        <v>800</v>
      </c>
      <c r="R485">
        <v>0.95203415899999999</v>
      </c>
      <c r="S485" t="s">
        <v>150</v>
      </c>
      <c r="T485">
        <v>12</v>
      </c>
      <c r="U485">
        <v>0</v>
      </c>
      <c r="V485">
        <v>12</v>
      </c>
      <c r="W485">
        <v>0</v>
      </c>
      <c r="X485" t="s">
        <v>151</v>
      </c>
      <c r="Y485" t="s">
        <v>152</v>
      </c>
    </row>
    <row r="486" spans="1:25">
      <c r="A486" t="s">
        <v>666</v>
      </c>
      <c r="B486" s="113">
        <v>44339</v>
      </c>
      <c r="C486" t="s">
        <v>162</v>
      </c>
      <c r="D486" t="s">
        <v>190</v>
      </c>
      <c r="E486">
        <v>46</v>
      </c>
      <c r="F486">
        <v>708</v>
      </c>
      <c r="G486" t="s">
        <v>169</v>
      </c>
      <c r="H486">
        <v>46986.887600000002</v>
      </c>
      <c r="I486">
        <v>46986.887600000002</v>
      </c>
      <c r="J486" t="s">
        <v>148</v>
      </c>
      <c r="K486" t="s">
        <v>148</v>
      </c>
      <c r="L486">
        <v>0.3</v>
      </c>
      <c r="M486" t="s">
        <v>149</v>
      </c>
      <c r="N486">
        <v>2</v>
      </c>
      <c r="O486">
        <v>1.1000000000000001</v>
      </c>
      <c r="P486">
        <v>2</v>
      </c>
      <c r="Q486">
        <v>1050</v>
      </c>
      <c r="R486">
        <v>0.89112403699999998</v>
      </c>
      <c r="S486" t="s">
        <v>150</v>
      </c>
      <c r="T486">
        <v>17</v>
      </c>
      <c r="U486">
        <v>0</v>
      </c>
      <c r="V486">
        <v>17</v>
      </c>
      <c r="W486">
        <v>0</v>
      </c>
      <c r="X486" t="s">
        <v>151</v>
      </c>
      <c r="Y486" t="s">
        <v>152</v>
      </c>
    </row>
    <row r="487" spans="1:25">
      <c r="A487" t="s">
        <v>667</v>
      </c>
      <c r="B487" s="113">
        <v>44341</v>
      </c>
      <c r="C487" t="s">
        <v>145</v>
      </c>
      <c r="D487" t="s">
        <v>146</v>
      </c>
      <c r="E487">
        <v>51</v>
      </c>
      <c r="F487">
        <v>748</v>
      </c>
      <c r="G487" t="s">
        <v>176</v>
      </c>
      <c r="H487">
        <v>36372.763209999997</v>
      </c>
      <c r="I487">
        <v>36372.763209999997</v>
      </c>
      <c r="J487" t="s">
        <v>148</v>
      </c>
      <c r="K487" t="s">
        <v>148</v>
      </c>
      <c r="L487">
        <v>1.4</v>
      </c>
      <c r="M487" t="s">
        <v>149</v>
      </c>
      <c r="N487">
        <v>1</v>
      </c>
      <c r="O487">
        <v>0.4</v>
      </c>
      <c r="P487">
        <v>3</v>
      </c>
      <c r="Q487">
        <v>1700</v>
      </c>
      <c r="R487">
        <v>0.80744976599999996</v>
      </c>
      <c r="S487" t="s">
        <v>150</v>
      </c>
      <c r="T487">
        <v>12</v>
      </c>
      <c r="U487">
        <v>1</v>
      </c>
      <c r="V487">
        <v>12</v>
      </c>
      <c r="W487">
        <v>0</v>
      </c>
      <c r="X487" t="s">
        <v>149</v>
      </c>
      <c r="Y487" t="s">
        <v>157</v>
      </c>
    </row>
    <row r="488" spans="1:25">
      <c r="A488" t="s">
        <v>668</v>
      </c>
      <c r="B488" s="113">
        <v>44341</v>
      </c>
      <c r="C488" t="s">
        <v>162</v>
      </c>
      <c r="D488" t="s">
        <v>179</v>
      </c>
      <c r="E488">
        <v>54</v>
      </c>
      <c r="F488">
        <v>697</v>
      </c>
      <c r="G488" t="s">
        <v>176</v>
      </c>
      <c r="H488">
        <v>207769.7703</v>
      </c>
      <c r="J488" t="s">
        <v>181</v>
      </c>
      <c r="K488" t="s">
        <v>181</v>
      </c>
      <c r="L488">
        <v>2.8</v>
      </c>
      <c r="M488" t="s">
        <v>149</v>
      </c>
      <c r="N488">
        <v>6</v>
      </c>
      <c r="O488">
        <v>9.5</v>
      </c>
      <c r="P488">
        <v>3</v>
      </c>
      <c r="Q488">
        <v>950</v>
      </c>
      <c r="R488">
        <v>0.70314884099999997</v>
      </c>
      <c r="S488" t="s">
        <v>150</v>
      </c>
      <c r="T488">
        <v>23</v>
      </c>
      <c r="U488">
        <v>0</v>
      </c>
      <c r="V488">
        <v>23</v>
      </c>
      <c r="W488">
        <v>0</v>
      </c>
      <c r="X488" t="s">
        <v>149</v>
      </c>
      <c r="Y488" t="s">
        <v>157</v>
      </c>
    </row>
    <row r="489" spans="1:25">
      <c r="A489" t="s">
        <v>669</v>
      </c>
      <c r="B489" s="113">
        <v>44342</v>
      </c>
      <c r="C489" t="s">
        <v>159</v>
      </c>
      <c r="D489" t="s">
        <v>209</v>
      </c>
      <c r="E489">
        <v>47</v>
      </c>
      <c r="F489">
        <v>712</v>
      </c>
      <c r="G489" t="s">
        <v>155</v>
      </c>
      <c r="H489">
        <v>30789.417740000001</v>
      </c>
      <c r="I489">
        <v>30789.417740000001</v>
      </c>
      <c r="J489" t="s">
        <v>148</v>
      </c>
      <c r="K489" t="s">
        <v>148</v>
      </c>
      <c r="L489">
        <v>1.1000000000000001</v>
      </c>
      <c r="M489" t="s">
        <v>149</v>
      </c>
      <c r="N489">
        <v>3</v>
      </c>
      <c r="O489">
        <v>2.7</v>
      </c>
      <c r="P489">
        <v>2</v>
      </c>
      <c r="Q489">
        <v>1600</v>
      </c>
      <c r="R489">
        <v>0.58088567400000002</v>
      </c>
      <c r="S489" t="s">
        <v>198</v>
      </c>
      <c r="Y489" t="s">
        <v>199</v>
      </c>
    </row>
    <row r="490" spans="1:25">
      <c r="A490" t="s">
        <v>670</v>
      </c>
      <c r="B490" s="113">
        <v>44343</v>
      </c>
      <c r="C490" t="s">
        <v>159</v>
      </c>
      <c r="D490" t="s">
        <v>197</v>
      </c>
      <c r="E490">
        <v>28</v>
      </c>
      <c r="F490">
        <v>792</v>
      </c>
      <c r="G490" t="s">
        <v>147</v>
      </c>
      <c r="H490">
        <v>30926.14399</v>
      </c>
      <c r="J490" t="s">
        <v>148</v>
      </c>
      <c r="K490" t="s">
        <v>148</v>
      </c>
      <c r="L490">
        <v>2.9</v>
      </c>
      <c r="M490" t="s">
        <v>149</v>
      </c>
      <c r="N490">
        <v>1</v>
      </c>
      <c r="O490">
        <v>7</v>
      </c>
      <c r="P490">
        <v>2</v>
      </c>
      <c r="Q490">
        <v>1300</v>
      </c>
      <c r="R490">
        <v>0.44378352999999998</v>
      </c>
      <c r="S490" t="s">
        <v>150</v>
      </c>
      <c r="T490">
        <v>17</v>
      </c>
      <c r="U490">
        <v>2</v>
      </c>
      <c r="V490">
        <v>17</v>
      </c>
      <c r="W490">
        <v>0</v>
      </c>
      <c r="X490" t="s">
        <v>151</v>
      </c>
      <c r="Y490" t="s">
        <v>152</v>
      </c>
    </row>
    <row r="491" spans="1:25">
      <c r="A491" t="s">
        <v>671</v>
      </c>
      <c r="B491" s="113">
        <v>44346</v>
      </c>
      <c r="C491" t="s">
        <v>162</v>
      </c>
      <c r="D491" t="s">
        <v>163</v>
      </c>
      <c r="E491">
        <v>29</v>
      </c>
      <c r="F491">
        <v>823</v>
      </c>
      <c r="G491" t="s">
        <v>169</v>
      </c>
      <c r="H491">
        <v>14870.09203</v>
      </c>
      <c r="I491">
        <v>14870.09203</v>
      </c>
      <c r="J491" t="s">
        <v>148</v>
      </c>
      <c r="K491" t="s">
        <v>148</v>
      </c>
      <c r="L491">
        <v>14.2</v>
      </c>
      <c r="M491" t="s">
        <v>149</v>
      </c>
      <c r="N491">
        <v>1</v>
      </c>
      <c r="O491">
        <v>6.8</v>
      </c>
      <c r="P491">
        <v>2</v>
      </c>
      <c r="Q491">
        <v>1100</v>
      </c>
      <c r="R491">
        <v>0.29534474399999999</v>
      </c>
      <c r="S491" t="s">
        <v>198</v>
      </c>
      <c r="Y491" t="s">
        <v>199</v>
      </c>
    </row>
    <row r="492" spans="1:25">
      <c r="A492" t="s">
        <v>672</v>
      </c>
      <c r="B492" s="113">
        <v>44347</v>
      </c>
      <c r="C492" t="s">
        <v>159</v>
      </c>
      <c r="D492" t="s">
        <v>160</v>
      </c>
      <c r="E492">
        <v>44</v>
      </c>
      <c r="F492">
        <v>822</v>
      </c>
      <c r="G492" t="s">
        <v>176</v>
      </c>
      <c r="H492">
        <v>100295.10249999999</v>
      </c>
      <c r="I492">
        <v>100295.10249999999</v>
      </c>
      <c r="J492" t="s">
        <v>156</v>
      </c>
      <c r="K492" t="s">
        <v>156</v>
      </c>
      <c r="L492">
        <v>4</v>
      </c>
      <c r="M492" t="s">
        <v>149</v>
      </c>
      <c r="N492">
        <v>1</v>
      </c>
      <c r="O492">
        <v>3.3</v>
      </c>
      <c r="P492">
        <v>3</v>
      </c>
      <c r="Q492">
        <v>1400</v>
      </c>
      <c r="R492">
        <v>0.13936124899999999</v>
      </c>
      <c r="S492" t="s">
        <v>150</v>
      </c>
      <c r="T492">
        <v>13</v>
      </c>
      <c r="U492">
        <v>0</v>
      </c>
      <c r="V492">
        <v>13</v>
      </c>
      <c r="W492">
        <v>0</v>
      </c>
      <c r="X492" t="s">
        <v>149</v>
      </c>
      <c r="Y492" t="s">
        <v>157</v>
      </c>
    </row>
    <row r="493" spans="1:25">
      <c r="A493" t="s">
        <v>673</v>
      </c>
      <c r="B493" s="113">
        <v>44347</v>
      </c>
      <c r="C493" t="s">
        <v>159</v>
      </c>
      <c r="D493" t="s">
        <v>168</v>
      </c>
      <c r="E493">
        <v>29</v>
      </c>
      <c r="F493">
        <v>793</v>
      </c>
      <c r="G493" t="s">
        <v>169</v>
      </c>
      <c r="H493">
        <v>22143.960210000001</v>
      </c>
      <c r="I493">
        <v>22143.960210000001</v>
      </c>
      <c r="J493" t="s">
        <v>148</v>
      </c>
      <c r="K493" t="s">
        <v>148</v>
      </c>
      <c r="L493">
        <v>1.1000000000000001</v>
      </c>
      <c r="M493" t="s">
        <v>149</v>
      </c>
      <c r="N493">
        <v>2</v>
      </c>
      <c r="O493">
        <v>0.2</v>
      </c>
      <c r="P493">
        <v>3</v>
      </c>
      <c r="Q493">
        <v>950</v>
      </c>
      <c r="R493">
        <v>2.0182289999999999E-2</v>
      </c>
      <c r="S493" t="s">
        <v>150</v>
      </c>
      <c r="T493">
        <v>14</v>
      </c>
      <c r="U493">
        <v>1</v>
      </c>
      <c r="V493">
        <v>14</v>
      </c>
      <c r="W493">
        <v>0</v>
      </c>
      <c r="X493" t="s">
        <v>151</v>
      </c>
      <c r="Y493" t="s">
        <v>152</v>
      </c>
    </row>
    <row r="494" spans="1:25">
      <c r="A494" t="s">
        <v>674</v>
      </c>
      <c r="B494" s="113">
        <v>44348</v>
      </c>
      <c r="C494" t="s">
        <v>145</v>
      </c>
      <c r="D494" t="s">
        <v>213</v>
      </c>
      <c r="E494">
        <v>32</v>
      </c>
      <c r="F494">
        <v>538</v>
      </c>
      <c r="G494" t="s">
        <v>169</v>
      </c>
      <c r="H494">
        <v>39177.402069999996</v>
      </c>
      <c r="I494">
        <v>39177.402069999996</v>
      </c>
      <c r="J494" t="s">
        <v>148</v>
      </c>
      <c r="K494" t="s">
        <v>148</v>
      </c>
      <c r="L494">
        <v>9.3000000000000007</v>
      </c>
      <c r="M494" t="s">
        <v>149</v>
      </c>
      <c r="N494">
        <v>3</v>
      </c>
      <c r="O494">
        <v>1</v>
      </c>
      <c r="P494">
        <v>1</v>
      </c>
      <c r="Q494">
        <v>1450</v>
      </c>
      <c r="R494">
        <v>0.17921026300000001</v>
      </c>
      <c r="S494" t="s">
        <v>150</v>
      </c>
      <c r="T494">
        <v>13</v>
      </c>
      <c r="U494">
        <v>0</v>
      </c>
      <c r="V494">
        <v>13</v>
      </c>
      <c r="W494">
        <v>0</v>
      </c>
      <c r="X494" t="s">
        <v>151</v>
      </c>
      <c r="Y494" t="s">
        <v>152</v>
      </c>
    </row>
    <row r="495" spans="1:25">
      <c r="A495" t="s">
        <v>675</v>
      </c>
      <c r="B495" s="113">
        <v>44350</v>
      </c>
      <c r="C495" t="s">
        <v>159</v>
      </c>
      <c r="D495" t="s">
        <v>165</v>
      </c>
      <c r="E495">
        <v>34</v>
      </c>
      <c r="F495">
        <v>685</v>
      </c>
      <c r="G495" t="s">
        <v>147</v>
      </c>
      <c r="H495">
        <v>64582.88134</v>
      </c>
      <c r="I495">
        <v>64582.88134</v>
      </c>
      <c r="J495" t="s">
        <v>148</v>
      </c>
      <c r="K495" t="s">
        <v>148</v>
      </c>
      <c r="L495">
        <v>5</v>
      </c>
      <c r="M495" t="s">
        <v>149</v>
      </c>
      <c r="N495">
        <v>1</v>
      </c>
      <c r="O495">
        <v>5.4</v>
      </c>
      <c r="P495">
        <v>2</v>
      </c>
      <c r="Q495">
        <v>1350</v>
      </c>
      <c r="R495">
        <v>0.33366023299999997</v>
      </c>
      <c r="S495" t="s">
        <v>150</v>
      </c>
      <c r="T495">
        <v>22</v>
      </c>
      <c r="U495">
        <v>0</v>
      </c>
      <c r="V495">
        <v>22</v>
      </c>
      <c r="W495">
        <v>0</v>
      </c>
      <c r="X495" t="s">
        <v>151</v>
      </c>
      <c r="Y495" t="s">
        <v>152</v>
      </c>
    </row>
    <row r="496" spans="1:25">
      <c r="A496" t="s">
        <v>676</v>
      </c>
      <c r="B496" s="113">
        <v>44352</v>
      </c>
      <c r="C496" t="s">
        <v>162</v>
      </c>
      <c r="D496" t="s">
        <v>187</v>
      </c>
      <c r="E496">
        <v>59</v>
      </c>
      <c r="F496">
        <v>647</v>
      </c>
      <c r="G496" t="s">
        <v>169</v>
      </c>
      <c r="H496">
        <v>36865.78731</v>
      </c>
      <c r="J496" t="s">
        <v>148</v>
      </c>
      <c r="K496" t="s">
        <v>148</v>
      </c>
      <c r="L496">
        <v>1.4</v>
      </c>
      <c r="M496" t="s">
        <v>151</v>
      </c>
      <c r="N496">
        <v>3</v>
      </c>
      <c r="O496">
        <v>1.4</v>
      </c>
      <c r="P496">
        <v>2</v>
      </c>
      <c r="Q496">
        <v>1350</v>
      </c>
      <c r="R496">
        <v>0.47958670799999997</v>
      </c>
      <c r="S496" t="s">
        <v>198</v>
      </c>
      <c r="Y496" t="s">
        <v>199</v>
      </c>
    </row>
    <row r="497" spans="1:25">
      <c r="A497" t="s">
        <v>677</v>
      </c>
      <c r="B497" s="113">
        <v>44355</v>
      </c>
      <c r="C497" t="s">
        <v>162</v>
      </c>
      <c r="D497" t="s">
        <v>195</v>
      </c>
      <c r="E497">
        <v>46</v>
      </c>
      <c r="F497">
        <v>658</v>
      </c>
      <c r="G497" t="s">
        <v>147</v>
      </c>
      <c r="H497">
        <v>62168.75692</v>
      </c>
      <c r="I497">
        <v>62168.75692</v>
      </c>
      <c r="J497" t="s">
        <v>148</v>
      </c>
      <c r="K497" t="s">
        <v>148</v>
      </c>
      <c r="L497">
        <v>13.2</v>
      </c>
      <c r="M497" t="s">
        <v>149</v>
      </c>
      <c r="N497">
        <v>4</v>
      </c>
      <c r="O497">
        <v>22.4</v>
      </c>
      <c r="P497">
        <v>2</v>
      </c>
      <c r="Q497">
        <v>1250</v>
      </c>
      <c r="R497">
        <v>0.61326193200000001</v>
      </c>
      <c r="S497" t="s">
        <v>150</v>
      </c>
      <c r="T497">
        <v>15</v>
      </c>
      <c r="U497">
        <v>0</v>
      </c>
      <c r="V497">
        <v>15</v>
      </c>
      <c r="W497">
        <v>0</v>
      </c>
      <c r="X497" t="s">
        <v>149</v>
      </c>
      <c r="Y497" t="s">
        <v>157</v>
      </c>
    </row>
    <row r="498" spans="1:25">
      <c r="A498" t="s">
        <v>678</v>
      </c>
      <c r="B498" s="113">
        <v>44357</v>
      </c>
      <c r="C498" t="s">
        <v>159</v>
      </c>
      <c r="D498" t="s">
        <v>165</v>
      </c>
      <c r="E498">
        <v>54</v>
      </c>
      <c r="F498">
        <v>495</v>
      </c>
      <c r="G498" t="s">
        <v>155</v>
      </c>
      <c r="H498">
        <v>22813.702720000001</v>
      </c>
      <c r="I498">
        <v>22813.702720000001</v>
      </c>
      <c r="J498" t="s">
        <v>148</v>
      </c>
      <c r="K498" t="s">
        <v>148</v>
      </c>
      <c r="L498">
        <v>2.1</v>
      </c>
      <c r="M498" t="s">
        <v>151</v>
      </c>
      <c r="N498">
        <v>3</v>
      </c>
      <c r="O498">
        <v>6.5</v>
      </c>
      <c r="P498">
        <v>2</v>
      </c>
      <c r="Q498">
        <v>1000</v>
      </c>
      <c r="R498">
        <v>0.731271114</v>
      </c>
      <c r="S498" t="s">
        <v>198</v>
      </c>
      <c r="Y498" t="s">
        <v>199</v>
      </c>
    </row>
    <row r="499" spans="1:25">
      <c r="A499" t="s">
        <v>679</v>
      </c>
      <c r="B499" s="113">
        <v>44358</v>
      </c>
      <c r="C499" t="s">
        <v>159</v>
      </c>
      <c r="D499" t="s">
        <v>197</v>
      </c>
      <c r="E499">
        <v>43</v>
      </c>
      <c r="F499">
        <v>710</v>
      </c>
      <c r="G499" t="s">
        <v>155</v>
      </c>
      <c r="H499">
        <v>69702.379979999998</v>
      </c>
      <c r="I499">
        <v>69702.379979999998</v>
      </c>
      <c r="J499" t="s">
        <v>170</v>
      </c>
      <c r="K499" t="s">
        <v>170</v>
      </c>
      <c r="L499">
        <v>3.7</v>
      </c>
      <c r="M499" t="s">
        <v>149</v>
      </c>
      <c r="N499">
        <v>2</v>
      </c>
      <c r="O499">
        <v>11.3</v>
      </c>
      <c r="P499">
        <v>4</v>
      </c>
      <c r="Q499">
        <v>800</v>
      </c>
      <c r="R499">
        <v>0.83059965899999999</v>
      </c>
      <c r="S499" t="s">
        <v>150</v>
      </c>
      <c r="T499">
        <v>14</v>
      </c>
      <c r="U499">
        <v>0</v>
      </c>
      <c r="V499">
        <v>14</v>
      </c>
      <c r="W499">
        <v>0</v>
      </c>
      <c r="X499" t="s">
        <v>149</v>
      </c>
      <c r="Y499" t="s">
        <v>157</v>
      </c>
    </row>
    <row r="500" spans="1:25">
      <c r="A500" t="s">
        <v>680</v>
      </c>
      <c r="B500" s="113">
        <v>44361</v>
      </c>
      <c r="C500" t="s">
        <v>145</v>
      </c>
      <c r="D500" t="s">
        <v>280</v>
      </c>
      <c r="E500">
        <v>54</v>
      </c>
      <c r="F500">
        <v>803</v>
      </c>
      <c r="G500" t="s">
        <v>169</v>
      </c>
      <c r="H500">
        <v>83511.47206</v>
      </c>
      <c r="J500" t="s">
        <v>148</v>
      </c>
      <c r="K500" t="s">
        <v>148</v>
      </c>
      <c r="L500">
        <v>0</v>
      </c>
      <c r="M500" t="s">
        <v>149</v>
      </c>
      <c r="N500">
        <v>2</v>
      </c>
      <c r="O500">
        <v>26</v>
      </c>
      <c r="P500">
        <v>3</v>
      </c>
      <c r="Q500">
        <v>900</v>
      </c>
      <c r="R500">
        <v>0.90871017600000004</v>
      </c>
      <c r="S500" t="s">
        <v>150</v>
      </c>
      <c r="T500">
        <v>7</v>
      </c>
      <c r="U500">
        <v>0</v>
      </c>
      <c r="V500">
        <v>7</v>
      </c>
      <c r="W500">
        <v>0</v>
      </c>
      <c r="X500" t="s">
        <v>151</v>
      </c>
      <c r="Y500" t="s">
        <v>152</v>
      </c>
    </row>
    <row r="501" spans="1:25">
      <c r="A501" t="s">
        <v>681</v>
      </c>
      <c r="B501" s="113">
        <v>44362</v>
      </c>
      <c r="C501" t="s">
        <v>162</v>
      </c>
      <c r="D501" t="s">
        <v>187</v>
      </c>
      <c r="E501">
        <v>37</v>
      </c>
      <c r="F501">
        <v>686</v>
      </c>
      <c r="G501" t="s">
        <v>169</v>
      </c>
      <c r="H501">
        <v>50539.127439999997</v>
      </c>
      <c r="J501" t="s">
        <v>148</v>
      </c>
      <c r="K501" t="s">
        <v>148</v>
      </c>
      <c r="L501">
        <v>3</v>
      </c>
      <c r="M501" t="s">
        <v>149</v>
      </c>
      <c r="N501">
        <v>3</v>
      </c>
      <c r="O501">
        <v>0.3</v>
      </c>
      <c r="P501">
        <v>4</v>
      </c>
      <c r="Q501">
        <v>1400</v>
      </c>
      <c r="R501">
        <v>0.963607298</v>
      </c>
      <c r="S501" t="s">
        <v>150</v>
      </c>
      <c r="T501">
        <v>21</v>
      </c>
      <c r="U501">
        <v>0</v>
      </c>
      <c r="V501">
        <v>21</v>
      </c>
      <c r="W501">
        <v>0</v>
      </c>
      <c r="X501" t="s">
        <v>149</v>
      </c>
      <c r="Y501" t="s">
        <v>157</v>
      </c>
    </row>
    <row r="502" spans="1:25">
      <c r="A502" t="s">
        <v>682</v>
      </c>
      <c r="B502" s="113">
        <v>44363</v>
      </c>
      <c r="C502" t="s">
        <v>159</v>
      </c>
      <c r="D502" t="s">
        <v>168</v>
      </c>
      <c r="E502">
        <v>53</v>
      </c>
      <c r="F502">
        <v>664</v>
      </c>
      <c r="G502" t="s">
        <v>155</v>
      </c>
      <c r="H502">
        <v>84598.326820000002</v>
      </c>
      <c r="I502">
        <v>84598.326820000002</v>
      </c>
      <c r="J502" t="s">
        <v>148</v>
      </c>
      <c r="K502" t="s">
        <v>148</v>
      </c>
      <c r="L502">
        <v>2.2000000000000002</v>
      </c>
      <c r="M502" t="s">
        <v>149</v>
      </c>
      <c r="N502">
        <v>1</v>
      </c>
      <c r="O502">
        <v>1.8</v>
      </c>
      <c r="P502">
        <v>3</v>
      </c>
      <c r="Q502">
        <v>900</v>
      </c>
      <c r="R502">
        <v>0.99388865400000004</v>
      </c>
      <c r="S502" t="s">
        <v>150</v>
      </c>
      <c r="T502">
        <v>12</v>
      </c>
      <c r="U502">
        <v>0</v>
      </c>
      <c r="V502">
        <v>12</v>
      </c>
      <c r="W502">
        <v>0</v>
      </c>
      <c r="X502" t="s">
        <v>151</v>
      </c>
      <c r="Y502" t="s">
        <v>152</v>
      </c>
    </row>
    <row r="503" spans="1:25">
      <c r="A503" t="s">
        <v>683</v>
      </c>
      <c r="B503" s="113">
        <v>44364</v>
      </c>
      <c r="C503" t="s">
        <v>162</v>
      </c>
      <c r="D503" t="s">
        <v>179</v>
      </c>
      <c r="E503">
        <v>44</v>
      </c>
      <c r="F503">
        <v>601</v>
      </c>
      <c r="G503" t="s">
        <v>169</v>
      </c>
      <c r="H503">
        <v>124923.99099999999</v>
      </c>
      <c r="J503" t="s">
        <v>148</v>
      </c>
      <c r="K503" t="s">
        <v>166</v>
      </c>
      <c r="L503">
        <v>4.5</v>
      </c>
      <c r="M503" t="s">
        <v>149</v>
      </c>
      <c r="N503">
        <v>2</v>
      </c>
      <c r="O503">
        <v>1.5</v>
      </c>
      <c r="P503">
        <v>2</v>
      </c>
      <c r="Q503">
        <v>950</v>
      </c>
      <c r="R503">
        <v>0.99878069400000002</v>
      </c>
      <c r="S503" t="s">
        <v>150</v>
      </c>
      <c r="T503">
        <v>15</v>
      </c>
      <c r="U503">
        <v>1</v>
      </c>
      <c r="V503">
        <v>15</v>
      </c>
      <c r="W503">
        <v>0</v>
      </c>
      <c r="X503" t="s">
        <v>149</v>
      </c>
      <c r="Y503" t="s">
        <v>157</v>
      </c>
    </row>
    <row r="504" spans="1:25">
      <c r="A504" t="s">
        <v>684</v>
      </c>
      <c r="B504" s="113">
        <v>44364</v>
      </c>
      <c r="C504" t="s">
        <v>159</v>
      </c>
      <c r="D504" t="s">
        <v>165</v>
      </c>
      <c r="E504">
        <v>28</v>
      </c>
      <c r="F504">
        <v>616</v>
      </c>
      <c r="G504" t="s">
        <v>169</v>
      </c>
      <c r="H504">
        <v>29043.126960000001</v>
      </c>
      <c r="I504">
        <v>29043.126960000001</v>
      </c>
      <c r="J504" t="s">
        <v>148</v>
      </c>
      <c r="K504" t="s">
        <v>148</v>
      </c>
      <c r="L504">
        <v>5.2</v>
      </c>
      <c r="M504" t="s">
        <v>149</v>
      </c>
      <c r="N504">
        <v>1</v>
      </c>
      <c r="O504">
        <v>1.7</v>
      </c>
      <c r="P504">
        <v>4</v>
      </c>
      <c r="Q504">
        <v>1300</v>
      </c>
      <c r="R504">
        <v>0.97815844799999996</v>
      </c>
      <c r="S504" t="s">
        <v>150</v>
      </c>
      <c r="T504">
        <v>23</v>
      </c>
      <c r="U504">
        <v>1</v>
      </c>
      <c r="V504">
        <v>23</v>
      </c>
      <c r="W504">
        <v>0</v>
      </c>
      <c r="X504" t="s">
        <v>149</v>
      </c>
      <c r="Y504" t="s">
        <v>157</v>
      </c>
    </row>
    <row r="505" spans="1:25">
      <c r="A505" t="s">
        <v>685</v>
      </c>
      <c r="B505" s="113">
        <v>44365</v>
      </c>
      <c r="C505" t="s">
        <v>145</v>
      </c>
      <c r="D505" t="s">
        <v>154</v>
      </c>
      <c r="E505">
        <v>34</v>
      </c>
      <c r="F505">
        <v>637</v>
      </c>
      <c r="G505" t="s">
        <v>155</v>
      </c>
      <c r="H505">
        <v>25192.829089999999</v>
      </c>
      <c r="J505" t="s">
        <v>148</v>
      </c>
      <c r="K505" t="s">
        <v>148</v>
      </c>
      <c r="L505">
        <v>7.1</v>
      </c>
      <c r="M505" t="s">
        <v>149</v>
      </c>
      <c r="N505">
        <v>2</v>
      </c>
      <c r="O505">
        <v>0.5</v>
      </c>
      <c r="P505">
        <v>3</v>
      </c>
      <c r="Q505">
        <v>1450</v>
      </c>
      <c r="R505">
        <v>0.93254872</v>
      </c>
      <c r="S505" t="s">
        <v>150</v>
      </c>
      <c r="T505">
        <v>17</v>
      </c>
      <c r="U505">
        <v>1</v>
      </c>
      <c r="V505">
        <v>17</v>
      </c>
      <c r="W505">
        <v>0</v>
      </c>
      <c r="X505" t="s">
        <v>149</v>
      </c>
      <c r="Y505" t="s">
        <v>157</v>
      </c>
    </row>
    <row r="506" spans="1:25">
      <c r="A506" t="s">
        <v>686</v>
      </c>
      <c r="B506" s="113">
        <v>44368</v>
      </c>
      <c r="C506" t="s">
        <v>159</v>
      </c>
      <c r="D506" t="s">
        <v>168</v>
      </c>
      <c r="E506">
        <v>50</v>
      </c>
      <c r="F506">
        <v>674</v>
      </c>
      <c r="G506" t="s">
        <v>176</v>
      </c>
      <c r="H506">
        <v>51197.090779999999</v>
      </c>
      <c r="I506">
        <v>51197.090779999999</v>
      </c>
      <c r="J506" t="s">
        <v>183</v>
      </c>
      <c r="K506" t="s">
        <v>183</v>
      </c>
      <c r="L506">
        <v>4.4000000000000004</v>
      </c>
      <c r="M506" t="s">
        <v>149</v>
      </c>
      <c r="N506">
        <v>5</v>
      </c>
      <c r="O506">
        <v>2.7</v>
      </c>
      <c r="P506">
        <v>2</v>
      </c>
      <c r="Q506">
        <v>950</v>
      </c>
      <c r="R506">
        <v>0.86311663199999999</v>
      </c>
      <c r="S506" t="s">
        <v>150</v>
      </c>
      <c r="T506">
        <v>14</v>
      </c>
      <c r="U506">
        <v>1</v>
      </c>
      <c r="V506">
        <v>14</v>
      </c>
      <c r="W506">
        <v>0</v>
      </c>
      <c r="X506" t="s">
        <v>149</v>
      </c>
      <c r="Y506" t="s">
        <v>157</v>
      </c>
    </row>
    <row r="507" spans="1:25">
      <c r="A507" t="s">
        <v>687</v>
      </c>
      <c r="B507" s="113">
        <v>44368</v>
      </c>
      <c r="C507" t="s">
        <v>162</v>
      </c>
      <c r="D507" t="s">
        <v>163</v>
      </c>
      <c r="E507">
        <v>28</v>
      </c>
      <c r="F507">
        <v>706</v>
      </c>
      <c r="G507" t="s">
        <v>147</v>
      </c>
      <c r="H507">
        <v>55076.548710000003</v>
      </c>
      <c r="J507" t="s">
        <v>148</v>
      </c>
      <c r="K507" t="s">
        <v>148</v>
      </c>
      <c r="L507">
        <v>1.4</v>
      </c>
      <c r="M507" t="s">
        <v>149</v>
      </c>
      <c r="N507">
        <v>5</v>
      </c>
      <c r="O507">
        <v>8.4</v>
      </c>
      <c r="P507">
        <v>4</v>
      </c>
      <c r="Q507">
        <v>1100</v>
      </c>
      <c r="R507">
        <v>0.77163585499999998</v>
      </c>
      <c r="S507" t="s">
        <v>150</v>
      </c>
      <c r="T507">
        <v>23</v>
      </c>
      <c r="U507">
        <v>1</v>
      </c>
      <c r="V507">
        <v>23</v>
      </c>
      <c r="W507">
        <v>0</v>
      </c>
      <c r="X507" t="s">
        <v>151</v>
      </c>
      <c r="Y507" t="s">
        <v>152</v>
      </c>
    </row>
    <row r="508" spans="1:25">
      <c r="A508" t="s">
        <v>688</v>
      </c>
      <c r="B508" s="113">
        <v>44369</v>
      </c>
      <c r="C508" t="s">
        <v>145</v>
      </c>
      <c r="D508" t="s">
        <v>280</v>
      </c>
      <c r="E508">
        <v>54</v>
      </c>
      <c r="F508">
        <v>647</v>
      </c>
      <c r="G508" t="s">
        <v>155</v>
      </c>
      <c r="H508">
        <v>45599.759709999998</v>
      </c>
      <c r="I508">
        <v>45599.759709999998</v>
      </c>
      <c r="J508" t="s">
        <v>148</v>
      </c>
      <c r="K508" t="s">
        <v>148</v>
      </c>
      <c r="L508">
        <v>12</v>
      </c>
      <c r="M508" t="s">
        <v>151</v>
      </c>
      <c r="N508">
        <v>1</v>
      </c>
      <c r="O508">
        <v>7.6</v>
      </c>
      <c r="P508">
        <v>2</v>
      </c>
      <c r="Q508">
        <v>1500</v>
      </c>
      <c r="R508">
        <v>0.66044330600000001</v>
      </c>
      <c r="S508" t="s">
        <v>150</v>
      </c>
      <c r="T508">
        <v>22</v>
      </c>
      <c r="U508">
        <v>2</v>
      </c>
      <c r="V508">
        <v>22</v>
      </c>
      <c r="W508">
        <v>0</v>
      </c>
      <c r="X508" t="s">
        <v>151</v>
      </c>
      <c r="Y508" t="s">
        <v>152</v>
      </c>
    </row>
    <row r="509" spans="1:25">
      <c r="A509" t="s">
        <v>689</v>
      </c>
      <c r="B509" s="113">
        <v>44369</v>
      </c>
      <c r="C509" t="s">
        <v>145</v>
      </c>
      <c r="D509" t="s">
        <v>154</v>
      </c>
      <c r="E509">
        <v>56</v>
      </c>
      <c r="F509">
        <v>751</v>
      </c>
      <c r="G509" t="s">
        <v>147</v>
      </c>
      <c r="H509">
        <v>58996.360619999999</v>
      </c>
      <c r="J509" t="s">
        <v>527</v>
      </c>
      <c r="K509" t="s">
        <v>183</v>
      </c>
      <c r="L509">
        <v>1.6</v>
      </c>
      <c r="M509" t="s">
        <v>149</v>
      </c>
      <c r="N509">
        <v>1</v>
      </c>
      <c r="O509">
        <v>7.1</v>
      </c>
      <c r="P509">
        <v>2</v>
      </c>
      <c r="Q509">
        <v>1500</v>
      </c>
      <c r="R509">
        <v>0.53237944699999995</v>
      </c>
      <c r="S509" t="s">
        <v>150</v>
      </c>
      <c r="T509">
        <v>18</v>
      </c>
      <c r="U509">
        <v>1</v>
      </c>
      <c r="V509">
        <v>18</v>
      </c>
      <c r="W509">
        <v>0</v>
      </c>
      <c r="X509" t="s">
        <v>149</v>
      </c>
      <c r="Y509" t="s">
        <v>157</v>
      </c>
    </row>
    <row r="510" spans="1:25">
      <c r="A510" t="s">
        <v>690</v>
      </c>
      <c r="B510" s="113">
        <v>44372</v>
      </c>
      <c r="C510" t="s">
        <v>145</v>
      </c>
      <c r="D510" t="s">
        <v>172</v>
      </c>
      <c r="E510">
        <v>65</v>
      </c>
      <c r="F510">
        <v>731</v>
      </c>
      <c r="G510" t="s">
        <v>155</v>
      </c>
      <c r="H510">
        <v>52359.277000000002</v>
      </c>
      <c r="I510">
        <v>52359.277000000002</v>
      </c>
      <c r="J510" t="s">
        <v>148</v>
      </c>
      <c r="K510" t="s">
        <v>148</v>
      </c>
      <c r="L510">
        <v>2.2999999999999998</v>
      </c>
      <c r="M510" t="s">
        <v>149</v>
      </c>
      <c r="N510">
        <v>3</v>
      </c>
      <c r="O510">
        <v>5.5</v>
      </c>
      <c r="P510">
        <v>2</v>
      </c>
      <c r="Q510">
        <v>1450</v>
      </c>
      <c r="R510">
        <v>0.39071572399999999</v>
      </c>
      <c r="S510" t="s">
        <v>150</v>
      </c>
      <c r="T510">
        <v>10</v>
      </c>
      <c r="U510">
        <v>0</v>
      </c>
      <c r="V510">
        <v>10</v>
      </c>
      <c r="W510">
        <v>0</v>
      </c>
      <c r="X510" t="s">
        <v>151</v>
      </c>
      <c r="Y510" t="s">
        <v>152</v>
      </c>
    </row>
    <row r="511" spans="1:25">
      <c r="A511" t="s">
        <v>691</v>
      </c>
      <c r="B511" s="113">
        <v>44373</v>
      </c>
      <c r="C511" t="s">
        <v>162</v>
      </c>
      <c r="D511" t="s">
        <v>179</v>
      </c>
      <c r="E511">
        <v>37</v>
      </c>
      <c r="F511">
        <v>744</v>
      </c>
      <c r="G511" t="s">
        <v>155</v>
      </c>
      <c r="H511">
        <v>63142.224699999999</v>
      </c>
      <c r="I511">
        <v>63142.224699999999</v>
      </c>
      <c r="J511" t="s">
        <v>183</v>
      </c>
      <c r="K511" t="s">
        <v>183</v>
      </c>
      <c r="L511">
        <v>3.9</v>
      </c>
      <c r="M511" t="s">
        <v>149</v>
      </c>
      <c r="N511">
        <v>6</v>
      </c>
      <c r="O511">
        <v>0.8</v>
      </c>
      <c r="P511">
        <v>1</v>
      </c>
      <c r="Q511">
        <v>900</v>
      </c>
      <c r="R511">
        <v>0.23907099900000001</v>
      </c>
      <c r="S511" t="s">
        <v>150</v>
      </c>
      <c r="T511">
        <v>18</v>
      </c>
      <c r="U511">
        <v>1</v>
      </c>
      <c r="V511">
        <v>18</v>
      </c>
      <c r="W511">
        <v>0</v>
      </c>
      <c r="X511" t="s">
        <v>149</v>
      </c>
      <c r="Y511" t="s">
        <v>157</v>
      </c>
    </row>
    <row r="512" spans="1:25">
      <c r="A512" t="s">
        <v>692</v>
      </c>
      <c r="B512" s="113">
        <v>44373</v>
      </c>
      <c r="C512" t="s">
        <v>159</v>
      </c>
      <c r="D512" t="s">
        <v>209</v>
      </c>
      <c r="E512">
        <v>23</v>
      </c>
      <c r="F512">
        <v>622</v>
      </c>
      <c r="G512" t="s">
        <v>176</v>
      </c>
      <c r="H512">
        <v>76025.100359999997</v>
      </c>
      <c r="I512">
        <v>76025.100359999997</v>
      </c>
      <c r="J512" t="s">
        <v>148</v>
      </c>
      <c r="K512" t="s">
        <v>148</v>
      </c>
      <c r="L512">
        <v>2.2999999999999998</v>
      </c>
      <c r="M512" t="s">
        <v>149</v>
      </c>
      <c r="N512">
        <v>1</v>
      </c>
      <c r="O512">
        <v>1.5</v>
      </c>
      <c r="P512">
        <v>3</v>
      </c>
      <c r="Q512">
        <v>1000</v>
      </c>
      <c r="R512">
        <v>8.1319101000000005E-2</v>
      </c>
      <c r="S512" t="s">
        <v>150</v>
      </c>
      <c r="T512">
        <v>10</v>
      </c>
      <c r="U512">
        <v>0</v>
      </c>
      <c r="V512">
        <v>10</v>
      </c>
      <c r="W512">
        <v>0</v>
      </c>
      <c r="X512" t="s">
        <v>151</v>
      </c>
      <c r="Y512" t="s">
        <v>152</v>
      </c>
    </row>
    <row r="513" spans="1:25">
      <c r="A513" t="s">
        <v>693</v>
      </c>
      <c r="B513" s="113">
        <v>44373</v>
      </c>
      <c r="C513" t="s">
        <v>159</v>
      </c>
      <c r="D513" t="s">
        <v>168</v>
      </c>
      <c r="E513">
        <v>25</v>
      </c>
      <c r="F513">
        <v>643</v>
      </c>
      <c r="G513" t="s">
        <v>176</v>
      </c>
      <c r="H513">
        <v>39180.253689999998</v>
      </c>
      <c r="I513">
        <v>39180.253689999998</v>
      </c>
      <c r="J513" t="s">
        <v>148</v>
      </c>
      <c r="K513" t="s">
        <v>148</v>
      </c>
      <c r="L513">
        <v>9.1</v>
      </c>
      <c r="M513" t="s">
        <v>149</v>
      </c>
      <c r="N513">
        <v>3</v>
      </c>
      <c r="O513">
        <v>3.9</v>
      </c>
      <c r="P513">
        <v>1</v>
      </c>
      <c r="Q513">
        <v>1250</v>
      </c>
      <c r="R513">
        <v>7.8510127999999998E-2</v>
      </c>
      <c r="S513" t="s">
        <v>150</v>
      </c>
      <c r="T513">
        <v>18</v>
      </c>
      <c r="U513">
        <v>0</v>
      </c>
      <c r="V513">
        <v>18</v>
      </c>
      <c r="W513">
        <v>0</v>
      </c>
      <c r="X513" t="s">
        <v>151</v>
      </c>
      <c r="Y513" t="s">
        <v>152</v>
      </c>
    </row>
    <row r="514" spans="1:25">
      <c r="A514" t="s">
        <v>694</v>
      </c>
      <c r="B514" s="113">
        <v>44377</v>
      </c>
      <c r="C514" t="s">
        <v>162</v>
      </c>
      <c r="D514" t="s">
        <v>179</v>
      </c>
      <c r="E514">
        <v>57</v>
      </c>
      <c r="F514">
        <v>687</v>
      </c>
      <c r="G514" t="s">
        <v>169</v>
      </c>
      <c r="H514">
        <v>72649.664560000005</v>
      </c>
      <c r="I514">
        <v>72649.664560000005</v>
      </c>
      <c r="J514" t="s">
        <v>148</v>
      </c>
      <c r="K514" t="s">
        <v>148</v>
      </c>
      <c r="L514">
        <v>0.4</v>
      </c>
      <c r="M514" t="s">
        <v>149</v>
      </c>
      <c r="N514">
        <v>3</v>
      </c>
      <c r="O514">
        <v>22.4</v>
      </c>
      <c r="P514">
        <v>2</v>
      </c>
      <c r="Q514">
        <v>1350</v>
      </c>
      <c r="R514">
        <v>0.23633378199999999</v>
      </c>
      <c r="S514" t="s">
        <v>150</v>
      </c>
      <c r="T514">
        <v>10</v>
      </c>
      <c r="U514">
        <v>0</v>
      </c>
      <c r="V514">
        <v>10</v>
      </c>
      <c r="W514">
        <v>0</v>
      </c>
      <c r="X514" t="s">
        <v>151</v>
      </c>
      <c r="Y514" t="s">
        <v>152</v>
      </c>
    </row>
    <row r="515" spans="1:25">
      <c r="A515" t="s">
        <v>695</v>
      </c>
      <c r="B515" s="113">
        <v>44379</v>
      </c>
      <c r="C515" t="s">
        <v>159</v>
      </c>
      <c r="D515" t="s">
        <v>197</v>
      </c>
      <c r="E515">
        <v>54</v>
      </c>
      <c r="F515">
        <v>640</v>
      </c>
      <c r="G515" t="s">
        <v>155</v>
      </c>
      <c r="H515">
        <v>180153.12109999999</v>
      </c>
      <c r="J515" t="s">
        <v>148</v>
      </c>
      <c r="K515" t="s">
        <v>148</v>
      </c>
      <c r="L515">
        <v>10.3</v>
      </c>
      <c r="M515" t="s">
        <v>149</v>
      </c>
      <c r="N515">
        <v>4</v>
      </c>
      <c r="O515">
        <v>0.5</v>
      </c>
      <c r="P515">
        <v>4</v>
      </c>
      <c r="Q515">
        <v>1050</v>
      </c>
      <c r="R515">
        <v>0.38812018700000001</v>
      </c>
      <c r="S515" t="s">
        <v>150</v>
      </c>
      <c r="T515">
        <v>15</v>
      </c>
      <c r="U515">
        <v>0</v>
      </c>
      <c r="V515">
        <v>15</v>
      </c>
      <c r="W515">
        <v>0</v>
      </c>
      <c r="X515" t="s">
        <v>151</v>
      </c>
      <c r="Y515" t="s">
        <v>152</v>
      </c>
    </row>
    <row r="516" spans="1:25">
      <c r="A516" t="s">
        <v>696</v>
      </c>
      <c r="B516" s="113">
        <v>44380</v>
      </c>
      <c r="C516" t="s">
        <v>162</v>
      </c>
      <c r="D516" t="s">
        <v>195</v>
      </c>
      <c r="E516">
        <v>45</v>
      </c>
      <c r="F516">
        <v>785</v>
      </c>
      <c r="G516" t="s">
        <v>169</v>
      </c>
      <c r="H516">
        <v>64399.955670000003</v>
      </c>
      <c r="J516" t="s">
        <v>148</v>
      </c>
      <c r="K516" t="s">
        <v>166</v>
      </c>
      <c r="L516">
        <v>9.9</v>
      </c>
      <c r="M516" t="s">
        <v>149</v>
      </c>
      <c r="N516">
        <v>3</v>
      </c>
      <c r="O516">
        <v>9.6</v>
      </c>
      <c r="P516">
        <v>1</v>
      </c>
      <c r="Q516">
        <v>1150</v>
      </c>
      <c r="R516">
        <v>0.52999189400000002</v>
      </c>
      <c r="S516" t="s">
        <v>150</v>
      </c>
      <c r="T516">
        <v>23</v>
      </c>
      <c r="U516">
        <v>0</v>
      </c>
      <c r="V516">
        <v>23</v>
      </c>
      <c r="W516">
        <v>0</v>
      </c>
      <c r="X516" t="s">
        <v>149</v>
      </c>
      <c r="Y516" t="s">
        <v>157</v>
      </c>
    </row>
    <row r="517" spans="1:25">
      <c r="A517" t="s">
        <v>697</v>
      </c>
      <c r="B517" s="113">
        <v>44384</v>
      </c>
      <c r="C517" t="s">
        <v>145</v>
      </c>
      <c r="D517" t="s">
        <v>146</v>
      </c>
      <c r="E517">
        <v>33</v>
      </c>
      <c r="F517">
        <v>422</v>
      </c>
      <c r="G517" t="s">
        <v>147</v>
      </c>
      <c r="H517">
        <v>36221.495450000002</v>
      </c>
      <c r="I517">
        <v>36221.495450000002</v>
      </c>
      <c r="J517" t="s">
        <v>148</v>
      </c>
      <c r="K517" t="s">
        <v>148</v>
      </c>
      <c r="L517">
        <v>2.7</v>
      </c>
      <c r="M517" t="s">
        <v>149</v>
      </c>
      <c r="N517">
        <v>1</v>
      </c>
      <c r="O517">
        <v>5</v>
      </c>
      <c r="P517">
        <v>3</v>
      </c>
      <c r="Q517">
        <v>1550</v>
      </c>
      <c r="R517">
        <v>0.65832472900000005</v>
      </c>
      <c r="S517" t="s">
        <v>150</v>
      </c>
      <c r="T517">
        <v>12</v>
      </c>
      <c r="U517">
        <v>0</v>
      </c>
      <c r="V517">
        <v>12</v>
      </c>
      <c r="W517">
        <v>0</v>
      </c>
      <c r="X517" t="s">
        <v>149</v>
      </c>
      <c r="Y517" t="s">
        <v>157</v>
      </c>
    </row>
    <row r="518" spans="1:25">
      <c r="A518" t="s">
        <v>698</v>
      </c>
      <c r="B518" s="113">
        <v>44384</v>
      </c>
      <c r="C518" t="s">
        <v>159</v>
      </c>
      <c r="D518" t="s">
        <v>209</v>
      </c>
      <c r="E518">
        <v>37</v>
      </c>
      <c r="F518">
        <v>683</v>
      </c>
      <c r="G518" t="s">
        <v>155</v>
      </c>
      <c r="H518">
        <v>61029.883970000003</v>
      </c>
      <c r="I518">
        <v>61029.883970000003</v>
      </c>
      <c r="J518" t="s">
        <v>148</v>
      </c>
      <c r="K518" t="s">
        <v>148</v>
      </c>
      <c r="L518">
        <v>2.2999999999999998</v>
      </c>
      <c r="M518" t="s">
        <v>149</v>
      </c>
      <c r="N518">
        <v>2</v>
      </c>
      <c r="O518">
        <v>0.2</v>
      </c>
      <c r="P518">
        <v>4</v>
      </c>
      <c r="Q518">
        <v>1350</v>
      </c>
      <c r="R518">
        <v>0.769840372</v>
      </c>
      <c r="S518" t="s">
        <v>150</v>
      </c>
      <c r="T518">
        <v>19</v>
      </c>
      <c r="U518">
        <v>1</v>
      </c>
      <c r="V518">
        <v>19</v>
      </c>
      <c r="W518">
        <v>0</v>
      </c>
      <c r="X518" t="s">
        <v>149</v>
      </c>
      <c r="Y518" t="s">
        <v>157</v>
      </c>
    </row>
    <row r="519" spans="1:25">
      <c r="A519" t="s">
        <v>699</v>
      </c>
      <c r="B519" s="113">
        <v>44386</v>
      </c>
      <c r="C519" t="s">
        <v>159</v>
      </c>
      <c r="D519" t="s">
        <v>160</v>
      </c>
      <c r="E519">
        <v>25</v>
      </c>
      <c r="F519">
        <v>707</v>
      </c>
      <c r="G519" t="s">
        <v>155</v>
      </c>
      <c r="H519">
        <v>119179.8907</v>
      </c>
      <c r="J519" t="s">
        <v>148</v>
      </c>
      <c r="K519" t="s">
        <v>148</v>
      </c>
      <c r="L519">
        <v>0.9</v>
      </c>
      <c r="M519" t="s">
        <v>149</v>
      </c>
      <c r="N519">
        <v>2</v>
      </c>
      <c r="O519">
        <v>1.3</v>
      </c>
      <c r="P519">
        <v>1</v>
      </c>
      <c r="Q519">
        <v>1400</v>
      </c>
      <c r="R519">
        <v>0.86169010999999995</v>
      </c>
      <c r="S519" t="s">
        <v>150</v>
      </c>
      <c r="T519">
        <v>16</v>
      </c>
      <c r="U519">
        <v>0</v>
      </c>
      <c r="V519">
        <v>16</v>
      </c>
      <c r="W519">
        <v>0</v>
      </c>
      <c r="X519" t="s">
        <v>149</v>
      </c>
      <c r="Y519" t="s">
        <v>157</v>
      </c>
    </row>
    <row r="520" spans="1:25">
      <c r="A520" t="s">
        <v>700</v>
      </c>
      <c r="B520" s="113">
        <v>44386</v>
      </c>
      <c r="C520" t="s">
        <v>159</v>
      </c>
      <c r="D520" t="s">
        <v>197</v>
      </c>
      <c r="E520">
        <v>32</v>
      </c>
      <c r="F520">
        <v>700</v>
      </c>
      <c r="G520" t="s">
        <v>155</v>
      </c>
      <c r="H520">
        <v>20370.114399999999</v>
      </c>
      <c r="J520" t="s">
        <v>148</v>
      </c>
      <c r="K520" t="s">
        <v>148</v>
      </c>
      <c r="L520">
        <v>1.5</v>
      </c>
      <c r="M520" t="s">
        <v>149</v>
      </c>
      <c r="N520">
        <v>0</v>
      </c>
      <c r="O520">
        <v>8.1999999999999993</v>
      </c>
      <c r="P520">
        <v>2</v>
      </c>
      <c r="Q520">
        <v>1250</v>
      </c>
      <c r="R520">
        <v>0.93152760099999998</v>
      </c>
      <c r="S520" t="s">
        <v>150</v>
      </c>
      <c r="T520">
        <v>21</v>
      </c>
      <c r="U520">
        <v>0</v>
      </c>
      <c r="V520">
        <v>21</v>
      </c>
      <c r="W520">
        <v>0</v>
      </c>
      <c r="X520" t="s">
        <v>149</v>
      </c>
      <c r="Y520" t="s">
        <v>157</v>
      </c>
    </row>
    <row r="521" spans="1:25">
      <c r="A521" t="s">
        <v>701</v>
      </c>
      <c r="B521" s="113">
        <v>44386</v>
      </c>
      <c r="C521" t="s">
        <v>162</v>
      </c>
      <c r="D521" t="s">
        <v>190</v>
      </c>
      <c r="E521">
        <v>46</v>
      </c>
      <c r="F521">
        <v>700</v>
      </c>
      <c r="G521" t="s">
        <v>155</v>
      </c>
      <c r="H521">
        <v>18891.8413</v>
      </c>
      <c r="I521">
        <v>18891.8413</v>
      </c>
      <c r="J521" t="s">
        <v>148</v>
      </c>
      <c r="K521" t="s">
        <v>148</v>
      </c>
      <c r="L521">
        <v>1.3</v>
      </c>
      <c r="M521" t="s">
        <v>151</v>
      </c>
      <c r="N521">
        <v>2</v>
      </c>
      <c r="O521">
        <v>0.6</v>
      </c>
      <c r="P521">
        <v>2</v>
      </c>
      <c r="Q521">
        <v>1150</v>
      </c>
      <c r="R521">
        <v>0.97756881600000001</v>
      </c>
      <c r="S521" t="s">
        <v>198</v>
      </c>
      <c r="Y521" t="s">
        <v>199</v>
      </c>
    </row>
    <row r="522" spans="1:25">
      <c r="A522" t="s">
        <v>702</v>
      </c>
      <c r="B522" s="113">
        <v>44386</v>
      </c>
      <c r="C522" t="s">
        <v>162</v>
      </c>
      <c r="D522" t="s">
        <v>187</v>
      </c>
      <c r="E522">
        <v>27</v>
      </c>
      <c r="F522">
        <v>770</v>
      </c>
      <c r="G522" t="s">
        <v>169</v>
      </c>
      <c r="H522">
        <v>43542.816899999998</v>
      </c>
      <c r="J522" t="s">
        <v>156</v>
      </c>
      <c r="K522" t="s">
        <v>156</v>
      </c>
      <c r="L522">
        <v>1.1000000000000001</v>
      </c>
      <c r="M522" t="s">
        <v>149</v>
      </c>
      <c r="N522">
        <v>2</v>
      </c>
      <c r="O522">
        <v>8.8000000000000007</v>
      </c>
      <c r="P522">
        <v>3</v>
      </c>
      <c r="Q522">
        <v>950</v>
      </c>
      <c r="R522">
        <v>0.99863761200000001</v>
      </c>
      <c r="S522" t="s">
        <v>150</v>
      </c>
      <c r="T522">
        <v>19</v>
      </c>
      <c r="U522">
        <v>0</v>
      </c>
      <c r="V522">
        <v>19</v>
      </c>
      <c r="W522">
        <v>0</v>
      </c>
      <c r="X522" t="s">
        <v>151</v>
      </c>
      <c r="Y522" t="s">
        <v>152</v>
      </c>
    </row>
    <row r="523" spans="1:25">
      <c r="A523" t="s">
        <v>703</v>
      </c>
      <c r="B523" s="113">
        <v>44390</v>
      </c>
      <c r="C523" t="s">
        <v>145</v>
      </c>
      <c r="D523" t="s">
        <v>213</v>
      </c>
      <c r="E523">
        <v>38</v>
      </c>
      <c r="F523">
        <v>631</v>
      </c>
      <c r="G523" t="s">
        <v>155</v>
      </c>
      <c r="H523">
        <v>67165.872430000003</v>
      </c>
      <c r="I523">
        <v>67165.872430000003</v>
      </c>
      <c r="J523" t="s">
        <v>148</v>
      </c>
      <c r="K523" t="s">
        <v>148</v>
      </c>
      <c r="L523">
        <v>2.2000000000000002</v>
      </c>
      <c r="M523" t="s">
        <v>149</v>
      </c>
      <c r="N523">
        <v>2</v>
      </c>
      <c r="O523">
        <v>3.5</v>
      </c>
      <c r="P523">
        <v>3</v>
      </c>
      <c r="Q523">
        <v>850</v>
      </c>
      <c r="R523">
        <v>0.99419577699999995</v>
      </c>
      <c r="S523" t="s">
        <v>150</v>
      </c>
      <c r="T523">
        <v>16</v>
      </c>
      <c r="U523">
        <v>1</v>
      </c>
      <c r="V523">
        <v>16</v>
      </c>
      <c r="W523">
        <v>0</v>
      </c>
      <c r="X523" t="s">
        <v>149</v>
      </c>
      <c r="Y523" t="s">
        <v>157</v>
      </c>
    </row>
    <row r="524" spans="1:25">
      <c r="A524" t="s">
        <v>704</v>
      </c>
      <c r="B524" s="113">
        <v>44390</v>
      </c>
      <c r="C524" t="s">
        <v>162</v>
      </c>
      <c r="D524" t="s">
        <v>193</v>
      </c>
      <c r="E524">
        <v>42</v>
      </c>
      <c r="F524">
        <v>592</v>
      </c>
      <c r="G524" t="s">
        <v>155</v>
      </c>
      <c r="H524">
        <v>43270.371350000001</v>
      </c>
      <c r="I524">
        <v>43270.371350000001</v>
      </c>
      <c r="J524" t="s">
        <v>148</v>
      </c>
      <c r="K524" t="s">
        <v>148</v>
      </c>
      <c r="L524">
        <v>3.1</v>
      </c>
      <c r="M524" t="s">
        <v>149</v>
      </c>
      <c r="N524">
        <v>7</v>
      </c>
      <c r="O524">
        <v>2.6</v>
      </c>
      <c r="P524">
        <v>3</v>
      </c>
      <c r="Q524">
        <v>1300</v>
      </c>
      <c r="R524">
        <v>0.96435678000000002</v>
      </c>
      <c r="S524" t="s">
        <v>150</v>
      </c>
      <c r="T524">
        <v>23</v>
      </c>
      <c r="U524">
        <v>1</v>
      </c>
      <c r="V524">
        <v>23</v>
      </c>
      <c r="W524">
        <v>0</v>
      </c>
      <c r="X524" t="s">
        <v>149</v>
      </c>
      <c r="Y524" t="s">
        <v>157</v>
      </c>
    </row>
    <row r="525" spans="1:25">
      <c r="A525" t="s">
        <v>705</v>
      </c>
      <c r="B525" s="113">
        <v>44392</v>
      </c>
      <c r="C525" t="s">
        <v>145</v>
      </c>
      <c r="D525" t="s">
        <v>280</v>
      </c>
      <c r="E525">
        <v>47</v>
      </c>
      <c r="F525">
        <v>666</v>
      </c>
      <c r="G525" t="s">
        <v>169</v>
      </c>
      <c r="H525">
        <v>41738.06005</v>
      </c>
      <c r="I525">
        <v>41738.06005</v>
      </c>
      <c r="J525" t="s">
        <v>183</v>
      </c>
      <c r="K525" t="s">
        <v>183</v>
      </c>
      <c r="L525">
        <v>0.3</v>
      </c>
      <c r="M525" t="s">
        <v>149</v>
      </c>
      <c r="N525">
        <v>3</v>
      </c>
      <c r="O525">
        <v>1.8</v>
      </c>
      <c r="P525">
        <v>3</v>
      </c>
      <c r="Q525">
        <v>1500</v>
      </c>
      <c r="R525">
        <v>0.90988287199999995</v>
      </c>
      <c r="S525" t="s">
        <v>150</v>
      </c>
      <c r="T525">
        <v>10</v>
      </c>
      <c r="U525">
        <v>0</v>
      </c>
      <c r="V525">
        <v>10</v>
      </c>
      <c r="W525">
        <v>0</v>
      </c>
      <c r="X525" t="s">
        <v>151</v>
      </c>
      <c r="Y525" t="s">
        <v>152</v>
      </c>
    </row>
    <row r="526" spans="1:25">
      <c r="A526" t="s">
        <v>706</v>
      </c>
      <c r="B526" s="113">
        <v>44397</v>
      </c>
      <c r="C526" t="s">
        <v>162</v>
      </c>
      <c r="D526" t="s">
        <v>179</v>
      </c>
      <c r="E526">
        <v>25</v>
      </c>
      <c r="F526">
        <v>762</v>
      </c>
      <c r="G526" t="s">
        <v>176</v>
      </c>
      <c r="H526">
        <v>61178.46516</v>
      </c>
      <c r="I526">
        <v>61178.46516</v>
      </c>
      <c r="J526" t="s">
        <v>148</v>
      </c>
      <c r="K526" t="s">
        <v>148</v>
      </c>
      <c r="L526">
        <v>1.9</v>
      </c>
      <c r="M526" t="s">
        <v>149</v>
      </c>
      <c r="N526">
        <v>4</v>
      </c>
      <c r="O526">
        <v>0.1</v>
      </c>
      <c r="P526">
        <v>3</v>
      </c>
      <c r="Q526">
        <v>1650</v>
      </c>
      <c r="R526">
        <v>0.83216561200000005</v>
      </c>
      <c r="S526" t="s">
        <v>150</v>
      </c>
      <c r="T526">
        <v>20</v>
      </c>
      <c r="U526">
        <v>1</v>
      </c>
      <c r="V526">
        <v>20</v>
      </c>
      <c r="W526">
        <v>0</v>
      </c>
      <c r="X526" t="s">
        <v>149</v>
      </c>
      <c r="Y526" t="s">
        <v>157</v>
      </c>
    </row>
    <row r="527" spans="1:25">
      <c r="A527" t="s">
        <v>707</v>
      </c>
      <c r="B527" s="113">
        <v>44397</v>
      </c>
      <c r="C527" t="s">
        <v>159</v>
      </c>
      <c r="D527" t="s">
        <v>168</v>
      </c>
      <c r="E527">
        <v>46</v>
      </c>
      <c r="F527">
        <v>797</v>
      </c>
      <c r="G527" t="s">
        <v>176</v>
      </c>
      <c r="H527">
        <v>180098.04949999999</v>
      </c>
      <c r="I527">
        <v>180098.04949999999</v>
      </c>
      <c r="J527" t="s">
        <v>148</v>
      </c>
      <c r="K527" t="s">
        <v>148</v>
      </c>
      <c r="L527">
        <v>8.6</v>
      </c>
      <c r="M527" t="s">
        <v>149</v>
      </c>
      <c r="N527">
        <v>2</v>
      </c>
      <c r="O527">
        <v>4.5999999999999996</v>
      </c>
      <c r="P527">
        <v>3</v>
      </c>
      <c r="Q527">
        <v>1400</v>
      </c>
      <c r="R527">
        <v>0.73319031999999995</v>
      </c>
      <c r="S527" t="s">
        <v>150</v>
      </c>
      <c r="T527">
        <v>12</v>
      </c>
      <c r="U527">
        <v>0</v>
      </c>
      <c r="V527">
        <v>12</v>
      </c>
      <c r="W527">
        <v>0</v>
      </c>
      <c r="X527" t="s">
        <v>151</v>
      </c>
      <c r="Y527" t="s">
        <v>152</v>
      </c>
    </row>
    <row r="528" spans="1:25">
      <c r="A528" t="s">
        <v>708</v>
      </c>
      <c r="B528" s="113">
        <v>44398</v>
      </c>
      <c r="C528" t="s">
        <v>159</v>
      </c>
      <c r="D528" t="s">
        <v>165</v>
      </c>
      <c r="E528">
        <v>40</v>
      </c>
      <c r="F528">
        <v>821</v>
      </c>
      <c r="G528" t="s">
        <v>176</v>
      </c>
      <c r="H528">
        <v>29041.292450000001</v>
      </c>
      <c r="I528">
        <v>29041.292450000001</v>
      </c>
      <c r="J528" t="s">
        <v>148</v>
      </c>
      <c r="K528" t="s">
        <v>166</v>
      </c>
      <c r="L528">
        <v>7.1</v>
      </c>
      <c r="M528" t="s">
        <v>149</v>
      </c>
      <c r="N528">
        <v>4</v>
      </c>
      <c r="O528">
        <v>8.9</v>
      </c>
      <c r="P528">
        <v>0</v>
      </c>
      <c r="Q528">
        <v>1400</v>
      </c>
      <c r="R528">
        <v>0.61548536399999998</v>
      </c>
      <c r="S528" t="s">
        <v>150</v>
      </c>
      <c r="T528">
        <v>19</v>
      </c>
      <c r="U528">
        <v>1</v>
      </c>
      <c r="V528">
        <v>19</v>
      </c>
      <c r="W528">
        <v>0</v>
      </c>
      <c r="X528" t="s">
        <v>149</v>
      </c>
      <c r="Y528" t="s">
        <v>157</v>
      </c>
    </row>
    <row r="529" spans="1:25">
      <c r="A529" t="s">
        <v>709</v>
      </c>
      <c r="B529" s="113">
        <v>44399</v>
      </c>
      <c r="C529" t="s">
        <v>162</v>
      </c>
      <c r="D529" t="s">
        <v>179</v>
      </c>
      <c r="E529">
        <v>35</v>
      </c>
      <c r="F529">
        <v>790</v>
      </c>
      <c r="G529" t="s">
        <v>147</v>
      </c>
      <c r="H529">
        <v>59926.658219999998</v>
      </c>
      <c r="I529">
        <v>59926.658219999998</v>
      </c>
      <c r="J529" t="s">
        <v>181</v>
      </c>
      <c r="K529" t="s">
        <v>181</v>
      </c>
      <c r="L529">
        <v>2.6</v>
      </c>
      <c r="M529" t="s">
        <v>151</v>
      </c>
      <c r="N529">
        <v>1</v>
      </c>
      <c r="O529">
        <v>9.6999999999999993</v>
      </c>
      <c r="P529">
        <v>3</v>
      </c>
      <c r="Q529">
        <v>1700</v>
      </c>
      <c r="R529">
        <v>0.48205756799999999</v>
      </c>
      <c r="S529" t="s">
        <v>150</v>
      </c>
      <c r="T529">
        <v>23</v>
      </c>
      <c r="U529">
        <v>0</v>
      </c>
      <c r="V529">
        <v>23</v>
      </c>
      <c r="W529">
        <v>0</v>
      </c>
      <c r="X529" t="s">
        <v>151</v>
      </c>
      <c r="Y529" t="s">
        <v>152</v>
      </c>
    </row>
    <row r="530" spans="1:25">
      <c r="A530" t="s">
        <v>710</v>
      </c>
      <c r="B530" s="113">
        <v>44401</v>
      </c>
      <c r="C530" t="s">
        <v>145</v>
      </c>
      <c r="D530" t="s">
        <v>172</v>
      </c>
      <c r="E530">
        <v>35</v>
      </c>
      <c r="F530">
        <v>664</v>
      </c>
      <c r="G530" t="s">
        <v>169</v>
      </c>
      <c r="H530">
        <v>31611.91721</v>
      </c>
      <c r="I530">
        <v>31611.91721</v>
      </c>
      <c r="J530" t="s">
        <v>183</v>
      </c>
      <c r="K530" t="s">
        <v>183</v>
      </c>
      <c r="L530">
        <v>2.9</v>
      </c>
      <c r="M530" t="s">
        <v>149</v>
      </c>
      <c r="N530">
        <v>3</v>
      </c>
      <c r="O530">
        <v>3</v>
      </c>
      <c r="P530">
        <v>2</v>
      </c>
      <c r="Q530">
        <v>1200</v>
      </c>
      <c r="R530">
        <v>0.33631540199999999</v>
      </c>
      <c r="S530" t="s">
        <v>150</v>
      </c>
      <c r="T530">
        <v>14</v>
      </c>
      <c r="U530">
        <v>0</v>
      </c>
      <c r="V530">
        <v>14</v>
      </c>
      <c r="W530">
        <v>0</v>
      </c>
      <c r="X530" t="s">
        <v>149</v>
      </c>
      <c r="Y530" t="s">
        <v>157</v>
      </c>
    </row>
    <row r="531" spans="1:25">
      <c r="A531" t="s">
        <v>711</v>
      </c>
      <c r="B531" s="113">
        <v>44403</v>
      </c>
      <c r="C531" t="s">
        <v>145</v>
      </c>
      <c r="D531" t="s">
        <v>213</v>
      </c>
      <c r="E531">
        <v>53</v>
      </c>
      <c r="F531">
        <v>751</v>
      </c>
      <c r="G531" t="s">
        <v>147</v>
      </c>
      <c r="H531">
        <v>92091.041159999993</v>
      </c>
      <c r="I531">
        <v>92091.041159999993</v>
      </c>
      <c r="J531" t="s">
        <v>712</v>
      </c>
      <c r="K531" t="s">
        <v>170</v>
      </c>
      <c r="L531">
        <v>2.6</v>
      </c>
      <c r="M531" t="s">
        <v>149</v>
      </c>
      <c r="N531">
        <v>0</v>
      </c>
      <c r="O531">
        <v>10.9</v>
      </c>
      <c r="P531">
        <v>2</v>
      </c>
      <c r="Q531">
        <v>1500</v>
      </c>
      <c r="R531">
        <v>0.18198191399999999</v>
      </c>
      <c r="S531" t="s">
        <v>150</v>
      </c>
      <c r="T531">
        <v>13</v>
      </c>
      <c r="U531">
        <v>0</v>
      </c>
      <c r="V531">
        <v>13</v>
      </c>
      <c r="W531">
        <v>0</v>
      </c>
      <c r="X531" t="s">
        <v>149</v>
      </c>
      <c r="Y531" t="s">
        <v>157</v>
      </c>
    </row>
    <row r="532" spans="1:25">
      <c r="A532" t="s">
        <v>713</v>
      </c>
      <c r="B532" s="113">
        <v>44403</v>
      </c>
      <c r="C532" t="s">
        <v>162</v>
      </c>
      <c r="D532" t="s">
        <v>195</v>
      </c>
      <c r="E532">
        <v>47</v>
      </c>
      <c r="F532">
        <v>741</v>
      </c>
      <c r="G532" t="s">
        <v>176</v>
      </c>
      <c r="H532">
        <v>98634.923580000002</v>
      </c>
      <c r="I532">
        <v>98634.923580000002</v>
      </c>
      <c r="J532" t="s">
        <v>148</v>
      </c>
      <c r="K532" t="s">
        <v>148</v>
      </c>
      <c r="L532">
        <v>1.7</v>
      </c>
      <c r="M532" t="s">
        <v>149</v>
      </c>
      <c r="N532">
        <v>6</v>
      </c>
      <c r="O532">
        <v>21.2</v>
      </c>
      <c r="P532">
        <v>2</v>
      </c>
      <c r="Q532">
        <v>1300</v>
      </c>
      <c r="R532">
        <v>2.2999618999999999E-2</v>
      </c>
      <c r="S532" t="s">
        <v>150</v>
      </c>
      <c r="T532">
        <v>16</v>
      </c>
      <c r="U532">
        <v>0</v>
      </c>
      <c r="V532">
        <v>16</v>
      </c>
      <c r="W532">
        <v>0</v>
      </c>
      <c r="X532" t="s">
        <v>149</v>
      </c>
      <c r="Y532" t="s">
        <v>157</v>
      </c>
    </row>
    <row r="533" spans="1:25">
      <c r="A533" t="s">
        <v>714</v>
      </c>
      <c r="B533" s="113">
        <v>44404</v>
      </c>
      <c r="C533" t="s">
        <v>159</v>
      </c>
      <c r="D533" t="s">
        <v>165</v>
      </c>
      <c r="E533">
        <v>31</v>
      </c>
      <c r="F533">
        <v>621</v>
      </c>
      <c r="G533" t="s">
        <v>169</v>
      </c>
      <c r="H533">
        <v>84945.191309999995</v>
      </c>
      <c r="I533">
        <v>84945.191309999995</v>
      </c>
      <c r="J533" t="s">
        <v>148</v>
      </c>
      <c r="K533" t="s">
        <v>148</v>
      </c>
      <c r="L533">
        <v>1.2</v>
      </c>
      <c r="M533" t="s">
        <v>149</v>
      </c>
      <c r="N533">
        <v>3</v>
      </c>
      <c r="O533">
        <v>2.2999999999999998</v>
      </c>
      <c r="P533">
        <v>3</v>
      </c>
      <c r="Q533">
        <v>1650</v>
      </c>
      <c r="R533">
        <v>0.136570212</v>
      </c>
      <c r="S533" t="s">
        <v>150</v>
      </c>
      <c r="T533">
        <v>19</v>
      </c>
      <c r="U533">
        <v>0</v>
      </c>
      <c r="V533">
        <v>19</v>
      </c>
      <c r="W533">
        <v>0</v>
      </c>
      <c r="X533" t="s">
        <v>149</v>
      </c>
      <c r="Y533" t="s">
        <v>157</v>
      </c>
    </row>
    <row r="534" spans="1:25">
      <c r="A534" t="s">
        <v>715</v>
      </c>
      <c r="B534" s="113">
        <v>44408</v>
      </c>
      <c r="C534" t="s">
        <v>159</v>
      </c>
      <c r="D534" t="s">
        <v>168</v>
      </c>
      <c r="E534">
        <v>48</v>
      </c>
      <c r="F534">
        <v>588</v>
      </c>
      <c r="G534" t="s">
        <v>169</v>
      </c>
      <c r="H534">
        <v>123322.7721</v>
      </c>
      <c r="I534">
        <v>123322.7721</v>
      </c>
      <c r="J534" t="s">
        <v>183</v>
      </c>
      <c r="K534" t="s">
        <v>183</v>
      </c>
      <c r="L534">
        <v>3.6</v>
      </c>
      <c r="M534" t="s">
        <v>149</v>
      </c>
      <c r="N534">
        <v>4</v>
      </c>
      <c r="O534">
        <v>0.5</v>
      </c>
      <c r="P534">
        <v>1</v>
      </c>
      <c r="Q534">
        <v>1200</v>
      </c>
      <c r="R534">
        <v>0.29265129699999998</v>
      </c>
      <c r="S534" t="s">
        <v>150</v>
      </c>
      <c r="T534">
        <v>18</v>
      </c>
      <c r="U534">
        <v>0</v>
      </c>
      <c r="V534">
        <v>18</v>
      </c>
      <c r="W534">
        <v>0</v>
      </c>
      <c r="X534" t="s">
        <v>149</v>
      </c>
      <c r="Y534" t="s">
        <v>157</v>
      </c>
    </row>
    <row r="535" spans="1:25">
      <c r="A535" t="s">
        <v>716</v>
      </c>
      <c r="B535" s="113">
        <v>44408</v>
      </c>
      <c r="C535" t="s">
        <v>162</v>
      </c>
      <c r="D535" t="s">
        <v>163</v>
      </c>
      <c r="E535">
        <v>44</v>
      </c>
      <c r="F535">
        <v>666</v>
      </c>
      <c r="G535" t="s">
        <v>147</v>
      </c>
      <c r="H535">
        <v>46911.929040000003</v>
      </c>
      <c r="J535" t="s">
        <v>148</v>
      </c>
      <c r="K535" t="s">
        <v>148</v>
      </c>
      <c r="L535">
        <v>1.4</v>
      </c>
      <c r="M535" t="s">
        <v>149</v>
      </c>
      <c r="N535">
        <v>3</v>
      </c>
      <c r="O535">
        <v>3.6</v>
      </c>
      <c r="P535">
        <v>1</v>
      </c>
      <c r="Q535">
        <v>1250</v>
      </c>
      <c r="R535">
        <v>0.44125647800000001</v>
      </c>
      <c r="S535" t="s">
        <v>150</v>
      </c>
      <c r="T535">
        <v>20</v>
      </c>
      <c r="U535">
        <v>1</v>
      </c>
      <c r="V535">
        <v>20</v>
      </c>
      <c r="W535">
        <v>0</v>
      </c>
      <c r="X535" t="s">
        <v>149</v>
      </c>
      <c r="Y535" t="s">
        <v>157</v>
      </c>
    </row>
    <row r="536" spans="1:25">
      <c r="A536" t="s">
        <v>717</v>
      </c>
      <c r="B536" s="113">
        <v>44408</v>
      </c>
      <c r="C536" t="s">
        <v>159</v>
      </c>
      <c r="D536" t="s">
        <v>165</v>
      </c>
      <c r="E536">
        <v>47</v>
      </c>
      <c r="F536">
        <v>840</v>
      </c>
      <c r="G536" t="s">
        <v>155</v>
      </c>
      <c r="H536">
        <v>17201.220539999998</v>
      </c>
      <c r="I536">
        <v>17201.220539999998</v>
      </c>
      <c r="J536" t="s">
        <v>148</v>
      </c>
      <c r="K536" t="s">
        <v>148</v>
      </c>
      <c r="L536">
        <v>0.7</v>
      </c>
      <c r="M536" t="s">
        <v>149</v>
      </c>
      <c r="N536">
        <v>1</v>
      </c>
      <c r="O536">
        <v>5.2</v>
      </c>
      <c r="P536">
        <v>2</v>
      </c>
      <c r="Q536">
        <v>1800</v>
      </c>
      <c r="R536">
        <v>0.57858957099999997</v>
      </c>
      <c r="S536" t="s">
        <v>198</v>
      </c>
      <c r="Y536" t="s">
        <v>199</v>
      </c>
    </row>
    <row r="537" spans="1:25">
      <c r="A537" t="s">
        <v>718</v>
      </c>
      <c r="B537" s="113">
        <v>44410</v>
      </c>
      <c r="C537" t="s">
        <v>162</v>
      </c>
      <c r="D537" t="s">
        <v>187</v>
      </c>
      <c r="E537">
        <v>56</v>
      </c>
      <c r="F537">
        <v>713</v>
      </c>
      <c r="G537" t="s">
        <v>155</v>
      </c>
      <c r="H537">
        <v>62405.656110000004</v>
      </c>
      <c r="I537">
        <v>62405.656110000004</v>
      </c>
      <c r="J537" t="s">
        <v>148</v>
      </c>
      <c r="K537" t="s">
        <v>148</v>
      </c>
      <c r="L537">
        <v>5.4</v>
      </c>
      <c r="M537" t="s">
        <v>149</v>
      </c>
      <c r="N537">
        <v>2</v>
      </c>
      <c r="O537">
        <v>2.5</v>
      </c>
      <c r="P537">
        <v>3</v>
      </c>
      <c r="Q537">
        <v>900</v>
      </c>
      <c r="R537">
        <v>0.701142343</v>
      </c>
      <c r="S537" t="s">
        <v>150</v>
      </c>
      <c r="T537">
        <v>13</v>
      </c>
      <c r="U537">
        <v>0</v>
      </c>
      <c r="V537">
        <v>13</v>
      </c>
      <c r="W537">
        <v>0</v>
      </c>
      <c r="X537" t="s">
        <v>149</v>
      </c>
      <c r="Y537" t="s">
        <v>157</v>
      </c>
    </row>
    <row r="538" spans="1:25">
      <c r="A538" t="s">
        <v>719</v>
      </c>
      <c r="B538" s="113">
        <v>44413</v>
      </c>
      <c r="C538" t="s">
        <v>162</v>
      </c>
      <c r="D538" t="s">
        <v>195</v>
      </c>
      <c r="E538">
        <v>39</v>
      </c>
      <c r="F538">
        <v>774</v>
      </c>
      <c r="G538" t="s">
        <v>169</v>
      </c>
      <c r="H538">
        <v>28768.604299999999</v>
      </c>
      <c r="I538">
        <v>28768.604299999999</v>
      </c>
      <c r="J538" t="s">
        <v>148</v>
      </c>
      <c r="K538" t="s">
        <v>148</v>
      </c>
      <c r="L538">
        <v>0.1</v>
      </c>
      <c r="M538" t="s">
        <v>149</v>
      </c>
      <c r="N538">
        <v>2</v>
      </c>
      <c r="O538">
        <v>5.2</v>
      </c>
      <c r="P538">
        <v>4</v>
      </c>
      <c r="Q538">
        <v>1100</v>
      </c>
      <c r="R538">
        <v>0.80578413000000004</v>
      </c>
      <c r="S538" t="s">
        <v>150</v>
      </c>
      <c r="T538">
        <v>23</v>
      </c>
      <c r="U538">
        <v>0</v>
      </c>
      <c r="V538">
        <v>23</v>
      </c>
      <c r="W538">
        <v>0</v>
      </c>
      <c r="X538" t="s">
        <v>149</v>
      </c>
      <c r="Y538" t="s">
        <v>157</v>
      </c>
    </row>
    <row r="539" spans="1:25">
      <c r="A539" t="s">
        <v>720</v>
      </c>
      <c r="B539" s="113">
        <v>44414</v>
      </c>
      <c r="C539" t="s">
        <v>159</v>
      </c>
      <c r="D539" t="s">
        <v>165</v>
      </c>
      <c r="E539">
        <v>67</v>
      </c>
      <c r="F539">
        <v>766</v>
      </c>
      <c r="G539" t="s">
        <v>147</v>
      </c>
      <c r="H539">
        <v>35064.619120000003</v>
      </c>
      <c r="J539" t="s">
        <v>148</v>
      </c>
      <c r="K539" t="s">
        <v>148</v>
      </c>
      <c r="L539">
        <v>2.2999999999999998</v>
      </c>
      <c r="M539" t="s">
        <v>149</v>
      </c>
      <c r="N539">
        <v>3</v>
      </c>
      <c r="O539">
        <v>0.9</v>
      </c>
      <c r="P539">
        <v>2</v>
      </c>
      <c r="Q539">
        <v>850</v>
      </c>
      <c r="R539">
        <v>0.88984181200000001</v>
      </c>
      <c r="S539" t="s">
        <v>150</v>
      </c>
      <c r="T539">
        <v>13</v>
      </c>
      <c r="U539">
        <v>0</v>
      </c>
      <c r="V539">
        <v>13</v>
      </c>
      <c r="W539">
        <v>0</v>
      </c>
      <c r="X539" t="s">
        <v>149</v>
      </c>
      <c r="Y539" t="s">
        <v>157</v>
      </c>
    </row>
    <row r="540" spans="1:25">
      <c r="A540" t="s">
        <v>721</v>
      </c>
      <c r="B540" s="113">
        <v>44417</v>
      </c>
      <c r="C540" t="s">
        <v>145</v>
      </c>
      <c r="D540" t="s">
        <v>280</v>
      </c>
      <c r="E540">
        <v>44</v>
      </c>
      <c r="F540">
        <v>734</v>
      </c>
      <c r="G540" t="s">
        <v>176</v>
      </c>
      <c r="H540">
        <v>43766.488369999999</v>
      </c>
      <c r="J540" t="s">
        <v>156</v>
      </c>
      <c r="K540" t="s">
        <v>156</v>
      </c>
      <c r="L540">
        <v>1.1000000000000001</v>
      </c>
      <c r="M540" t="s">
        <v>149</v>
      </c>
      <c r="N540">
        <v>2</v>
      </c>
      <c r="O540">
        <v>7.8</v>
      </c>
      <c r="P540">
        <v>3</v>
      </c>
      <c r="Q540">
        <v>1600</v>
      </c>
      <c r="R540">
        <v>0.95116809899999999</v>
      </c>
      <c r="S540" t="s">
        <v>150</v>
      </c>
      <c r="T540">
        <v>13</v>
      </c>
      <c r="U540">
        <v>0</v>
      </c>
      <c r="V540">
        <v>13</v>
      </c>
      <c r="W540">
        <v>0</v>
      </c>
      <c r="X540" t="s">
        <v>149</v>
      </c>
      <c r="Y540" t="s">
        <v>157</v>
      </c>
    </row>
    <row r="541" spans="1:25">
      <c r="A541" t="s">
        <v>722</v>
      </c>
      <c r="B541" s="113">
        <v>44418</v>
      </c>
      <c r="C541" t="s">
        <v>162</v>
      </c>
      <c r="D541" t="s">
        <v>193</v>
      </c>
      <c r="E541">
        <v>30</v>
      </c>
      <c r="F541">
        <v>747</v>
      </c>
      <c r="G541" t="s">
        <v>155</v>
      </c>
      <c r="H541">
        <v>15170.40776</v>
      </c>
      <c r="I541">
        <v>15170.40776</v>
      </c>
      <c r="J541" t="s">
        <v>148</v>
      </c>
      <c r="K541" t="s">
        <v>148</v>
      </c>
      <c r="L541">
        <v>1.8</v>
      </c>
      <c r="M541" t="s">
        <v>149</v>
      </c>
      <c r="N541">
        <v>4</v>
      </c>
      <c r="O541">
        <v>3.6</v>
      </c>
      <c r="P541">
        <v>2</v>
      </c>
      <c r="Q541">
        <v>850</v>
      </c>
      <c r="R541">
        <v>0.98819638600000004</v>
      </c>
      <c r="S541" t="s">
        <v>150</v>
      </c>
      <c r="T541">
        <v>13</v>
      </c>
      <c r="U541">
        <v>1</v>
      </c>
      <c r="V541">
        <v>13</v>
      </c>
      <c r="W541">
        <v>0</v>
      </c>
      <c r="X541" t="s">
        <v>149</v>
      </c>
      <c r="Y541" t="s">
        <v>157</v>
      </c>
    </row>
    <row r="542" spans="1:25">
      <c r="A542" t="s">
        <v>723</v>
      </c>
      <c r="B542" s="113">
        <v>44419</v>
      </c>
      <c r="C542" t="s">
        <v>162</v>
      </c>
      <c r="D542" t="s">
        <v>193</v>
      </c>
      <c r="E542">
        <v>51</v>
      </c>
      <c r="F542">
        <v>812</v>
      </c>
      <c r="G542" t="s">
        <v>176</v>
      </c>
      <c r="H542">
        <v>49669.272010000001</v>
      </c>
      <c r="J542" t="s">
        <v>148</v>
      </c>
      <c r="K542" t="s">
        <v>148</v>
      </c>
      <c r="L542">
        <v>5.4</v>
      </c>
      <c r="M542" t="s">
        <v>149</v>
      </c>
      <c r="N542">
        <v>4</v>
      </c>
      <c r="O542">
        <v>3.5</v>
      </c>
      <c r="P542">
        <v>2</v>
      </c>
      <c r="Q542">
        <v>1400</v>
      </c>
      <c r="R542">
        <v>0.99998076700000005</v>
      </c>
      <c r="S542" t="s">
        <v>150</v>
      </c>
      <c r="T542">
        <v>22</v>
      </c>
      <c r="U542">
        <v>0</v>
      </c>
      <c r="V542">
        <v>22</v>
      </c>
      <c r="W542">
        <v>0</v>
      </c>
      <c r="X542" t="s">
        <v>149</v>
      </c>
      <c r="Y542" t="s">
        <v>157</v>
      </c>
    </row>
    <row r="543" spans="1:25">
      <c r="A543" t="s">
        <v>724</v>
      </c>
      <c r="B543" s="113">
        <v>44420</v>
      </c>
      <c r="C543" t="s">
        <v>159</v>
      </c>
      <c r="D543" t="s">
        <v>165</v>
      </c>
      <c r="E543">
        <v>44</v>
      </c>
      <c r="F543">
        <v>828</v>
      </c>
      <c r="G543" t="s">
        <v>155</v>
      </c>
      <c r="H543">
        <v>158895.8939</v>
      </c>
      <c r="I543">
        <v>158895.8939</v>
      </c>
      <c r="J543" t="s">
        <v>148</v>
      </c>
      <c r="K543" t="s">
        <v>148</v>
      </c>
      <c r="L543">
        <v>2.9</v>
      </c>
      <c r="M543" t="s">
        <v>149</v>
      </c>
      <c r="N543">
        <v>3</v>
      </c>
      <c r="O543">
        <v>6.1</v>
      </c>
      <c r="P543">
        <v>3</v>
      </c>
      <c r="Q543">
        <v>1350</v>
      </c>
      <c r="R543">
        <v>0.98622020700000002</v>
      </c>
      <c r="S543" t="s">
        <v>150</v>
      </c>
      <c r="T543">
        <v>21</v>
      </c>
      <c r="U543">
        <v>0</v>
      </c>
      <c r="V543">
        <v>21</v>
      </c>
      <c r="W543">
        <v>0</v>
      </c>
      <c r="X543" t="s">
        <v>149</v>
      </c>
      <c r="Y543" t="s">
        <v>157</v>
      </c>
    </row>
    <row r="544" spans="1:25">
      <c r="A544" t="s">
        <v>725</v>
      </c>
      <c r="B544" s="113">
        <v>44422</v>
      </c>
      <c r="C544" t="s">
        <v>145</v>
      </c>
      <c r="D544" t="s">
        <v>154</v>
      </c>
      <c r="E544">
        <v>48</v>
      </c>
      <c r="F544">
        <v>666</v>
      </c>
      <c r="G544" t="s">
        <v>176</v>
      </c>
      <c r="H544">
        <v>118627.3027</v>
      </c>
      <c r="I544">
        <v>118627.3027</v>
      </c>
      <c r="J544" t="s">
        <v>148</v>
      </c>
      <c r="K544" t="s">
        <v>148</v>
      </c>
      <c r="L544">
        <v>1.9</v>
      </c>
      <c r="M544" t="s">
        <v>149</v>
      </c>
      <c r="N544">
        <v>4</v>
      </c>
      <c r="O544">
        <v>2.8</v>
      </c>
      <c r="P544">
        <v>3</v>
      </c>
      <c r="Q544">
        <v>1150</v>
      </c>
      <c r="R544">
        <v>0.94726622400000005</v>
      </c>
      <c r="S544" t="s">
        <v>150</v>
      </c>
      <c r="T544">
        <v>14</v>
      </c>
      <c r="U544">
        <v>0</v>
      </c>
      <c r="V544">
        <v>14</v>
      </c>
      <c r="W544">
        <v>0</v>
      </c>
      <c r="X544" t="s">
        <v>149</v>
      </c>
      <c r="Y544" t="s">
        <v>157</v>
      </c>
    </row>
    <row r="545" spans="1:25">
      <c r="A545" t="s">
        <v>726</v>
      </c>
      <c r="B545" s="113">
        <v>44422</v>
      </c>
      <c r="C545" t="s">
        <v>162</v>
      </c>
      <c r="D545" t="s">
        <v>187</v>
      </c>
      <c r="E545">
        <v>37</v>
      </c>
      <c r="F545">
        <v>739</v>
      </c>
      <c r="G545" t="s">
        <v>169</v>
      </c>
      <c r="H545">
        <v>54767.667390000002</v>
      </c>
      <c r="I545">
        <v>54767.667390000002</v>
      </c>
      <c r="J545" t="s">
        <v>148</v>
      </c>
      <c r="K545" t="s">
        <v>148</v>
      </c>
      <c r="L545">
        <v>1.7</v>
      </c>
      <c r="M545" t="s">
        <v>149</v>
      </c>
      <c r="N545">
        <v>1</v>
      </c>
      <c r="O545">
        <v>3.1</v>
      </c>
      <c r="P545">
        <v>3</v>
      </c>
      <c r="Q545">
        <v>800</v>
      </c>
      <c r="R545">
        <v>0.88411391500000003</v>
      </c>
      <c r="S545" t="s">
        <v>150</v>
      </c>
      <c r="T545">
        <v>15</v>
      </c>
      <c r="U545">
        <v>2</v>
      </c>
      <c r="V545">
        <v>15</v>
      </c>
      <c r="W545">
        <v>0</v>
      </c>
      <c r="X545" t="s">
        <v>149</v>
      </c>
      <c r="Y545" t="s">
        <v>157</v>
      </c>
    </row>
    <row r="546" spans="1:25">
      <c r="A546" t="s">
        <v>727</v>
      </c>
      <c r="B546" s="113">
        <v>44423</v>
      </c>
      <c r="C546" t="s">
        <v>159</v>
      </c>
      <c r="D546" t="s">
        <v>209</v>
      </c>
      <c r="E546">
        <v>38</v>
      </c>
      <c r="F546">
        <v>765</v>
      </c>
      <c r="G546" t="s">
        <v>147</v>
      </c>
      <c r="H546">
        <v>57657.953370000003</v>
      </c>
      <c r="J546" t="s">
        <v>148</v>
      </c>
      <c r="K546" t="s">
        <v>148</v>
      </c>
      <c r="L546">
        <v>0.9</v>
      </c>
      <c r="M546" t="s">
        <v>149</v>
      </c>
      <c r="N546">
        <v>4</v>
      </c>
      <c r="O546">
        <v>0</v>
      </c>
      <c r="P546">
        <v>4</v>
      </c>
      <c r="Q546">
        <v>1850</v>
      </c>
      <c r="R546">
        <v>0.798376533</v>
      </c>
      <c r="S546" t="s">
        <v>150</v>
      </c>
      <c r="T546">
        <v>16</v>
      </c>
      <c r="U546">
        <v>0</v>
      </c>
      <c r="V546">
        <v>16</v>
      </c>
      <c r="W546">
        <v>0</v>
      </c>
      <c r="X546" t="s">
        <v>151</v>
      </c>
      <c r="Y546" t="s">
        <v>152</v>
      </c>
    </row>
    <row r="547" spans="1:25">
      <c r="A547" t="s">
        <v>728</v>
      </c>
      <c r="B547" s="113">
        <v>44426</v>
      </c>
      <c r="C547" t="s">
        <v>145</v>
      </c>
      <c r="D547" t="s">
        <v>213</v>
      </c>
      <c r="E547">
        <v>47</v>
      </c>
      <c r="F547">
        <v>796</v>
      </c>
      <c r="G547" t="s">
        <v>169</v>
      </c>
      <c r="H547">
        <v>22919.401620000001</v>
      </c>
      <c r="I547">
        <v>22919.401620000001</v>
      </c>
      <c r="J547" t="s">
        <v>148</v>
      </c>
      <c r="K547" t="s">
        <v>148</v>
      </c>
      <c r="L547">
        <v>0.2</v>
      </c>
      <c r="M547" t="s">
        <v>149</v>
      </c>
      <c r="N547">
        <v>2</v>
      </c>
      <c r="O547">
        <v>6.7</v>
      </c>
      <c r="P547">
        <v>2</v>
      </c>
      <c r="Q547">
        <v>800</v>
      </c>
      <c r="R547">
        <v>0.69224427700000002</v>
      </c>
      <c r="S547" t="s">
        <v>150</v>
      </c>
      <c r="T547">
        <v>13</v>
      </c>
      <c r="U547">
        <v>1</v>
      </c>
      <c r="V547">
        <v>13</v>
      </c>
      <c r="W547">
        <v>0</v>
      </c>
      <c r="X547" t="s">
        <v>149</v>
      </c>
      <c r="Y547" t="s">
        <v>157</v>
      </c>
    </row>
    <row r="548" spans="1:25">
      <c r="A548" t="s">
        <v>729</v>
      </c>
      <c r="B548" s="113">
        <v>44427</v>
      </c>
      <c r="C548" t="s">
        <v>159</v>
      </c>
      <c r="D548" t="s">
        <v>168</v>
      </c>
      <c r="E548">
        <v>34</v>
      </c>
      <c r="F548">
        <v>638</v>
      </c>
      <c r="G548" t="s">
        <v>147</v>
      </c>
      <c r="H548">
        <v>9814.6683850000009</v>
      </c>
      <c r="I548">
        <v>9814.6683850000009</v>
      </c>
      <c r="J548" t="s">
        <v>148</v>
      </c>
      <c r="K548" t="s">
        <v>148</v>
      </c>
      <c r="L548">
        <v>0.3</v>
      </c>
      <c r="M548" t="s">
        <v>149</v>
      </c>
      <c r="N548">
        <v>2</v>
      </c>
      <c r="O548">
        <v>5.3</v>
      </c>
      <c r="P548">
        <v>0</v>
      </c>
      <c r="Q548">
        <v>1050</v>
      </c>
      <c r="R548">
        <v>0.56842834099999995</v>
      </c>
      <c r="S548" t="s">
        <v>198</v>
      </c>
      <c r="Y548" t="s">
        <v>199</v>
      </c>
    </row>
    <row r="549" spans="1:25">
      <c r="A549" t="s">
        <v>730</v>
      </c>
      <c r="B549" s="113">
        <v>44427</v>
      </c>
      <c r="C549" t="s">
        <v>145</v>
      </c>
      <c r="D549" t="s">
        <v>146</v>
      </c>
      <c r="E549">
        <v>56</v>
      </c>
      <c r="F549">
        <v>725</v>
      </c>
      <c r="G549" t="s">
        <v>155</v>
      </c>
      <c r="H549">
        <v>55433.562729999998</v>
      </c>
      <c r="J549" t="s">
        <v>148</v>
      </c>
      <c r="K549" t="s">
        <v>148</v>
      </c>
      <c r="L549">
        <v>3</v>
      </c>
      <c r="M549" t="s">
        <v>149</v>
      </c>
      <c r="N549">
        <v>6</v>
      </c>
      <c r="O549">
        <v>9</v>
      </c>
      <c r="P549">
        <v>2</v>
      </c>
      <c r="Q549">
        <v>1400</v>
      </c>
      <c r="R549">
        <v>0.43009165599999999</v>
      </c>
      <c r="S549" t="s">
        <v>150</v>
      </c>
      <c r="T549">
        <v>22</v>
      </c>
      <c r="U549">
        <v>0</v>
      </c>
      <c r="V549">
        <v>22</v>
      </c>
      <c r="W549">
        <v>0</v>
      </c>
      <c r="X549" t="s">
        <v>151</v>
      </c>
      <c r="Y549" t="s">
        <v>152</v>
      </c>
    </row>
    <row r="550" spans="1:25">
      <c r="A550" t="s">
        <v>731</v>
      </c>
      <c r="B550" s="113">
        <v>44428</v>
      </c>
      <c r="C550" t="s">
        <v>159</v>
      </c>
      <c r="D550" t="s">
        <v>160</v>
      </c>
      <c r="E550">
        <v>24</v>
      </c>
      <c r="F550">
        <v>703</v>
      </c>
      <c r="G550" t="s">
        <v>155</v>
      </c>
      <c r="H550">
        <v>114607.9088</v>
      </c>
      <c r="I550">
        <v>114607.9088</v>
      </c>
      <c r="J550" t="s">
        <v>148</v>
      </c>
      <c r="K550" t="s">
        <v>148</v>
      </c>
      <c r="L550">
        <v>1.2</v>
      </c>
      <c r="M550" t="s">
        <v>149</v>
      </c>
      <c r="N550">
        <v>2</v>
      </c>
      <c r="O550">
        <v>7.9</v>
      </c>
      <c r="P550">
        <v>2</v>
      </c>
      <c r="Q550">
        <v>1350</v>
      </c>
      <c r="R550">
        <v>0.28076809400000002</v>
      </c>
      <c r="S550" t="s">
        <v>150</v>
      </c>
      <c r="T550">
        <v>14</v>
      </c>
      <c r="U550">
        <v>1</v>
      </c>
      <c r="V550">
        <v>14</v>
      </c>
      <c r="W550">
        <v>0</v>
      </c>
      <c r="X550" t="s">
        <v>151</v>
      </c>
      <c r="Y550" t="s">
        <v>152</v>
      </c>
    </row>
    <row r="551" spans="1:25">
      <c r="A551" t="s">
        <v>732</v>
      </c>
      <c r="B551" s="113">
        <v>44429</v>
      </c>
      <c r="C551" t="s">
        <v>145</v>
      </c>
      <c r="D551" t="s">
        <v>280</v>
      </c>
      <c r="E551">
        <v>63</v>
      </c>
      <c r="F551">
        <v>644</v>
      </c>
      <c r="G551" t="s">
        <v>169</v>
      </c>
      <c r="H551">
        <v>88357.847609999997</v>
      </c>
      <c r="I551">
        <v>88357.847609999997</v>
      </c>
      <c r="J551" t="s">
        <v>148</v>
      </c>
      <c r="K551" t="s">
        <v>148</v>
      </c>
      <c r="L551">
        <v>0</v>
      </c>
      <c r="M551" t="s">
        <v>149</v>
      </c>
      <c r="N551">
        <v>3</v>
      </c>
      <c r="O551">
        <v>2.7</v>
      </c>
      <c r="P551">
        <v>3</v>
      </c>
      <c r="Q551">
        <v>1850</v>
      </c>
      <c r="R551">
        <v>0.12427218900000001</v>
      </c>
      <c r="S551" t="s">
        <v>198</v>
      </c>
      <c r="Y551" t="s">
        <v>199</v>
      </c>
    </row>
    <row r="552" spans="1:25">
      <c r="A552" t="s">
        <v>733</v>
      </c>
      <c r="B552" s="113">
        <v>44433</v>
      </c>
      <c r="C552" t="s">
        <v>162</v>
      </c>
      <c r="D552" t="s">
        <v>187</v>
      </c>
      <c r="E552">
        <v>49</v>
      </c>
      <c r="F552">
        <v>717</v>
      </c>
      <c r="G552" t="s">
        <v>155</v>
      </c>
      <c r="H552">
        <v>53493.340360000002</v>
      </c>
      <c r="I552">
        <v>53493.340360000002</v>
      </c>
      <c r="J552" t="s">
        <v>156</v>
      </c>
      <c r="K552" t="s">
        <v>156</v>
      </c>
      <c r="L552">
        <v>3.5</v>
      </c>
      <c r="M552" t="s">
        <v>149</v>
      </c>
      <c r="N552">
        <v>1</v>
      </c>
      <c r="O552">
        <v>5.4</v>
      </c>
      <c r="P552">
        <v>3</v>
      </c>
      <c r="Q552">
        <v>1600</v>
      </c>
      <c r="R552">
        <v>3.5398302999999999E-2</v>
      </c>
      <c r="S552" t="s">
        <v>150</v>
      </c>
      <c r="T552">
        <v>11</v>
      </c>
      <c r="U552">
        <v>0</v>
      </c>
      <c r="V552">
        <v>11</v>
      </c>
      <c r="W552">
        <v>0</v>
      </c>
      <c r="X552" t="s">
        <v>151</v>
      </c>
      <c r="Y552" t="s">
        <v>152</v>
      </c>
    </row>
    <row r="553" spans="1:25">
      <c r="A553" t="s">
        <v>734</v>
      </c>
      <c r="B553" s="113">
        <v>44434</v>
      </c>
      <c r="C553" t="s">
        <v>159</v>
      </c>
      <c r="D553" t="s">
        <v>209</v>
      </c>
      <c r="E553">
        <v>54</v>
      </c>
      <c r="F553">
        <v>486</v>
      </c>
      <c r="G553" t="s">
        <v>147</v>
      </c>
      <c r="H553">
        <v>50304.205419999998</v>
      </c>
      <c r="J553" t="s">
        <v>183</v>
      </c>
      <c r="K553" t="s">
        <v>183</v>
      </c>
      <c r="L553">
        <v>2.2999999999999998</v>
      </c>
      <c r="M553" t="s">
        <v>149</v>
      </c>
      <c r="N553">
        <v>0</v>
      </c>
      <c r="O553">
        <v>2.5</v>
      </c>
      <c r="P553">
        <v>2</v>
      </c>
      <c r="Q553">
        <v>1000</v>
      </c>
      <c r="R553">
        <v>0.19416453</v>
      </c>
      <c r="S553" t="s">
        <v>150</v>
      </c>
      <c r="T553">
        <v>18</v>
      </c>
      <c r="U553">
        <v>0</v>
      </c>
      <c r="V553">
        <v>18</v>
      </c>
      <c r="W553">
        <v>0</v>
      </c>
      <c r="X553" t="s">
        <v>151</v>
      </c>
      <c r="Y553" t="s">
        <v>152</v>
      </c>
    </row>
    <row r="554" spans="1:25">
      <c r="A554" t="s">
        <v>735</v>
      </c>
      <c r="B554" s="113">
        <v>44435</v>
      </c>
      <c r="C554" t="s">
        <v>162</v>
      </c>
      <c r="D554" t="s">
        <v>179</v>
      </c>
      <c r="E554">
        <v>40</v>
      </c>
      <c r="F554">
        <v>705</v>
      </c>
      <c r="G554" t="s">
        <v>147</v>
      </c>
      <c r="H554">
        <v>51794.46761</v>
      </c>
      <c r="J554" t="s">
        <v>148</v>
      </c>
      <c r="K554" t="s">
        <v>148</v>
      </c>
      <c r="L554">
        <v>2.4</v>
      </c>
      <c r="M554" t="s">
        <v>149</v>
      </c>
      <c r="N554">
        <v>2</v>
      </c>
      <c r="O554">
        <v>1.8</v>
      </c>
      <c r="P554">
        <v>2</v>
      </c>
      <c r="Q554">
        <v>1150</v>
      </c>
      <c r="R554">
        <v>0.34797073899999997</v>
      </c>
      <c r="S554" t="s">
        <v>150</v>
      </c>
      <c r="T554">
        <v>11</v>
      </c>
      <c r="U554">
        <v>0</v>
      </c>
      <c r="V554">
        <v>11</v>
      </c>
      <c r="W554">
        <v>0</v>
      </c>
      <c r="X554" t="s">
        <v>151</v>
      </c>
      <c r="Y554" t="s">
        <v>152</v>
      </c>
    </row>
    <row r="555" spans="1:25">
      <c r="A555" t="s">
        <v>736</v>
      </c>
      <c r="B555" s="113">
        <v>44437</v>
      </c>
      <c r="C555" t="s">
        <v>159</v>
      </c>
      <c r="D555" t="s">
        <v>168</v>
      </c>
      <c r="E555">
        <v>48</v>
      </c>
      <c r="F555">
        <v>768</v>
      </c>
      <c r="G555" t="s">
        <v>155</v>
      </c>
      <c r="H555">
        <v>38214.57303</v>
      </c>
      <c r="I555">
        <v>38214.57303</v>
      </c>
      <c r="J555" t="s">
        <v>221</v>
      </c>
      <c r="K555" t="s">
        <v>221</v>
      </c>
      <c r="L555">
        <v>0.3</v>
      </c>
      <c r="M555" t="s">
        <v>149</v>
      </c>
      <c r="N555">
        <v>2</v>
      </c>
      <c r="O555">
        <v>11.1</v>
      </c>
      <c r="P555">
        <v>3</v>
      </c>
      <c r="Q555">
        <v>950</v>
      </c>
      <c r="R555">
        <v>0.492887886</v>
      </c>
      <c r="S555" t="s">
        <v>150</v>
      </c>
      <c r="T555">
        <v>11</v>
      </c>
      <c r="U555">
        <v>0</v>
      </c>
      <c r="V555">
        <v>11</v>
      </c>
      <c r="W555">
        <v>0</v>
      </c>
      <c r="X555" t="s">
        <v>151</v>
      </c>
      <c r="Y555" t="s">
        <v>152</v>
      </c>
    </row>
    <row r="556" spans="1:25">
      <c r="A556" t="s">
        <v>737</v>
      </c>
      <c r="B556" s="113">
        <v>44440</v>
      </c>
      <c r="C556" t="s">
        <v>162</v>
      </c>
      <c r="D556" t="s">
        <v>190</v>
      </c>
      <c r="E556">
        <v>26</v>
      </c>
      <c r="F556">
        <v>688</v>
      </c>
      <c r="G556" t="s">
        <v>155</v>
      </c>
      <c r="H556">
        <v>88856.271129999994</v>
      </c>
      <c r="I556">
        <v>88856.271129999994</v>
      </c>
      <c r="J556" t="s">
        <v>148</v>
      </c>
      <c r="K556" t="s">
        <v>148</v>
      </c>
      <c r="L556">
        <v>3.8</v>
      </c>
      <c r="M556" t="s">
        <v>149</v>
      </c>
      <c r="N556">
        <v>1</v>
      </c>
      <c r="O556">
        <v>2.9</v>
      </c>
      <c r="P556">
        <v>3</v>
      </c>
      <c r="Q556">
        <v>1000</v>
      </c>
      <c r="R556">
        <v>0.62521399799999999</v>
      </c>
      <c r="S556" t="s">
        <v>150</v>
      </c>
      <c r="T556">
        <v>12</v>
      </c>
      <c r="U556">
        <v>0</v>
      </c>
      <c r="V556">
        <v>12</v>
      </c>
      <c r="W556">
        <v>0</v>
      </c>
      <c r="X556" t="s">
        <v>151</v>
      </c>
      <c r="Y556" t="s">
        <v>152</v>
      </c>
    </row>
    <row r="557" spans="1:25">
      <c r="A557" t="s">
        <v>738</v>
      </c>
      <c r="B557" s="113">
        <v>44440</v>
      </c>
      <c r="C557" t="s">
        <v>162</v>
      </c>
      <c r="D557" t="s">
        <v>195</v>
      </c>
      <c r="E557">
        <v>34</v>
      </c>
      <c r="F557">
        <v>701</v>
      </c>
      <c r="G557" t="s">
        <v>176</v>
      </c>
      <c r="H557">
        <v>48796.189579999998</v>
      </c>
      <c r="I557">
        <v>48796.189579999998</v>
      </c>
      <c r="J557" t="s">
        <v>156</v>
      </c>
      <c r="K557" t="s">
        <v>156</v>
      </c>
      <c r="L557">
        <v>2.2999999999999998</v>
      </c>
      <c r="M557" t="s">
        <v>149</v>
      </c>
      <c r="N557">
        <v>1</v>
      </c>
      <c r="O557">
        <v>2.5</v>
      </c>
      <c r="P557">
        <v>2</v>
      </c>
      <c r="Q557">
        <v>1300</v>
      </c>
      <c r="R557">
        <v>0.74156874699999997</v>
      </c>
      <c r="S557" t="s">
        <v>150</v>
      </c>
      <c r="T557">
        <v>19</v>
      </c>
      <c r="U557">
        <v>0</v>
      </c>
      <c r="V557">
        <v>19</v>
      </c>
      <c r="W557">
        <v>0</v>
      </c>
      <c r="X557" t="s">
        <v>149</v>
      </c>
      <c r="Y557" t="s">
        <v>157</v>
      </c>
    </row>
    <row r="558" spans="1:25">
      <c r="A558" t="s">
        <v>739</v>
      </c>
      <c r="B558" s="113">
        <v>44443</v>
      </c>
      <c r="C558" t="s">
        <v>145</v>
      </c>
      <c r="D558" t="s">
        <v>280</v>
      </c>
      <c r="E558">
        <v>58</v>
      </c>
      <c r="F558">
        <v>648</v>
      </c>
      <c r="G558" t="s">
        <v>169</v>
      </c>
      <c r="H558">
        <v>63404.657740000002</v>
      </c>
      <c r="I558">
        <v>63404.657740000002</v>
      </c>
      <c r="J558" t="s">
        <v>148</v>
      </c>
      <c r="K558" t="s">
        <v>148</v>
      </c>
      <c r="L558">
        <v>2</v>
      </c>
      <c r="M558" t="s">
        <v>149</v>
      </c>
      <c r="N558">
        <v>7</v>
      </c>
      <c r="O558">
        <v>1.9</v>
      </c>
      <c r="P558">
        <v>3</v>
      </c>
      <c r="Q558">
        <v>800</v>
      </c>
      <c r="R558">
        <v>0.838979802</v>
      </c>
      <c r="S558" t="s">
        <v>150</v>
      </c>
      <c r="T558">
        <v>23</v>
      </c>
      <c r="U558">
        <v>0</v>
      </c>
      <c r="V558">
        <v>23</v>
      </c>
      <c r="W558">
        <v>0</v>
      </c>
      <c r="X558" t="s">
        <v>149</v>
      </c>
      <c r="Y558" t="s">
        <v>157</v>
      </c>
    </row>
    <row r="559" spans="1:25">
      <c r="A559" t="s">
        <v>740</v>
      </c>
      <c r="B559" s="113">
        <v>44443</v>
      </c>
      <c r="C559" t="s">
        <v>159</v>
      </c>
      <c r="D559" t="s">
        <v>160</v>
      </c>
      <c r="E559">
        <v>38</v>
      </c>
      <c r="F559">
        <v>786</v>
      </c>
      <c r="G559" t="s">
        <v>147</v>
      </c>
      <c r="H559">
        <v>39276.832869999998</v>
      </c>
      <c r="I559">
        <v>39276.832869999998</v>
      </c>
      <c r="J559" t="s">
        <v>148</v>
      </c>
      <c r="K559" t="s">
        <v>148</v>
      </c>
      <c r="L559">
        <v>0.2</v>
      </c>
      <c r="M559" t="s">
        <v>149</v>
      </c>
      <c r="N559">
        <v>0</v>
      </c>
      <c r="O559">
        <v>9.1</v>
      </c>
      <c r="P559">
        <v>2</v>
      </c>
      <c r="Q559">
        <v>1500</v>
      </c>
      <c r="R559">
        <v>0.91495875400000004</v>
      </c>
      <c r="S559" t="s">
        <v>150</v>
      </c>
      <c r="T559">
        <v>21</v>
      </c>
      <c r="U559">
        <v>0</v>
      </c>
      <c r="V559">
        <v>21</v>
      </c>
      <c r="W559">
        <v>0</v>
      </c>
      <c r="X559" t="s">
        <v>151</v>
      </c>
      <c r="Y559" t="s">
        <v>152</v>
      </c>
    </row>
    <row r="560" spans="1:25">
      <c r="A560" t="s">
        <v>741</v>
      </c>
      <c r="B560" s="113">
        <v>44444</v>
      </c>
      <c r="C560" t="s">
        <v>162</v>
      </c>
      <c r="D560" t="s">
        <v>163</v>
      </c>
      <c r="E560">
        <v>54</v>
      </c>
      <c r="F560">
        <v>757</v>
      </c>
      <c r="G560" t="s">
        <v>176</v>
      </c>
      <c r="H560">
        <v>30117.816879999998</v>
      </c>
      <c r="I560">
        <v>30117.816879999998</v>
      </c>
      <c r="J560" t="s">
        <v>148</v>
      </c>
      <c r="K560" t="s">
        <v>148</v>
      </c>
      <c r="L560">
        <v>3.3</v>
      </c>
      <c r="M560" t="s">
        <v>149</v>
      </c>
      <c r="N560">
        <v>1</v>
      </c>
      <c r="O560">
        <v>15.8</v>
      </c>
      <c r="P560">
        <v>2</v>
      </c>
      <c r="Q560">
        <v>800</v>
      </c>
      <c r="R560">
        <v>0.96756468799999995</v>
      </c>
      <c r="S560" t="s">
        <v>150</v>
      </c>
      <c r="T560">
        <v>17</v>
      </c>
      <c r="U560">
        <v>0</v>
      </c>
      <c r="V560">
        <v>17</v>
      </c>
      <c r="W560">
        <v>0</v>
      </c>
      <c r="X560" t="s">
        <v>149</v>
      </c>
      <c r="Y560" t="s">
        <v>157</v>
      </c>
    </row>
    <row r="561" spans="1:25">
      <c r="A561" t="s">
        <v>742</v>
      </c>
      <c r="B561" s="113">
        <v>44445</v>
      </c>
      <c r="C561" t="s">
        <v>145</v>
      </c>
      <c r="D561" t="s">
        <v>280</v>
      </c>
      <c r="E561">
        <v>49</v>
      </c>
      <c r="F561">
        <v>767</v>
      </c>
      <c r="G561" t="s">
        <v>176</v>
      </c>
      <c r="H561">
        <v>124350.89659999999</v>
      </c>
      <c r="J561" t="s">
        <v>156</v>
      </c>
      <c r="K561" t="s">
        <v>156</v>
      </c>
      <c r="L561">
        <v>3.1</v>
      </c>
      <c r="M561" t="s">
        <v>149</v>
      </c>
      <c r="N561">
        <v>5</v>
      </c>
      <c r="O561">
        <v>4.5999999999999996</v>
      </c>
      <c r="P561">
        <v>3</v>
      </c>
      <c r="Q561">
        <v>1350</v>
      </c>
      <c r="R561">
        <v>0.99545376299999999</v>
      </c>
      <c r="S561" t="s">
        <v>150</v>
      </c>
      <c r="T561">
        <v>16</v>
      </c>
      <c r="U561">
        <v>0</v>
      </c>
      <c r="V561">
        <v>16</v>
      </c>
      <c r="W561">
        <v>0</v>
      </c>
      <c r="X561" t="s">
        <v>149</v>
      </c>
      <c r="Y561" t="s">
        <v>157</v>
      </c>
    </row>
    <row r="562" spans="1:25">
      <c r="A562" t="s">
        <v>743</v>
      </c>
      <c r="B562" s="113">
        <v>44446</v>
      </c>
      <c r="C562" t="s">
        <v>162</v>
      </c>
      <c r="D562" t="s">
        <v>193</v>
      </c>
      <c r="E562">
        <v>41</v>
      </c>
      <c r="F562">
        <v>812</v>
      </c>
      <c r="G562" t="s">
        <v>169</v>
      </c>
      <c r="H562">
        <v>12542.521839999999</v>
      </c>
      <c r="I562">
        <v>12542.521839999999</v>
      </c>
      <c r="J562" t="s">
        <v>148</v>
      </c>
      <c r="K562" t="s">
        <v>166</v>
      </c>
      <c r="L562">
        <v>6.3</v>
      </c>
      <c r="M562" t="s">
        <v>149</v>
      </c>
      <c r="N562">
        <v>4</v>
      </c>
      <c r="O562">
        <v>2.6</v>
      </c>
      <c r="P562">
        <v>1</v>
      </c>
      <c r="Q562">
        <v>1550</v>
      </c>
      <c r="R562">
        <v>0.99791353999999999</v>
      </c>
      <c r="S562" t="s">
        <v>198</v>
      </c>
      <c r="Y562" t="s">
        <v>199</v>
      </c>
    </row>
    <row r="563" spans="1:25">
      <c r="A563" t="s">
        <v>744</v>
      </c>
      <c r="B563" s="113">
        <v>44446</v>
      </c>
      <c r="C563" t="s">
        <v>159</v>
      </c>
      <c r="D563" t="s">
        <v>168</v>
      </c>
      <c r="E563">
        <v>48</v>
      </c>
      <c r="F563">
        <v>711</v>
      </c>
      <c r="G563" t="s">
        <v>155</v>
      </c>
      <c r="H563">
        <v>108883.5192</v>
      </c>
      <c r="I563">
        <v>108883.5192</v>
      </c>
      <c r="J563" t="s">
        <v>221</v>
      </c>
      <c r="K563" t="s">
        <v>221</v>
      </c>
      <c r="L563">
        <v>1.7</v>
      </c>
      <c r="M563" t="s">
        <v>149</v>
      </c>
      <c r="N563">
        <v>3</v>
      </c>
      <c r="O563">
        <v>2</v>
      </c>
      <c r="P563">
        <v>2</v>
      </c>
      <c r="Q563">
        <v>1450</v>
      </c>
      <c r="R563">
        <v>0.97488118400000001</v>
      </c>
      <c r="S563" t="s">
        <v>150</v>
      </c>
      <c r="T563">
        <v>19</v>
      </c>
      <c r="U563">
        <v>0</v>
      </c>
      <c r="V563">
        <v>19</v>
      </c>
      <c r="W563">
        <v>0</v>
      </c>
      <c r="X563" t="s">
        <v>151</v>
      </c>
      <c r="Y563" t="s">
        <v>152</v>
      </c>
    </row>
    <row r="564" spans="1:25">
      <c r="A564" t="s">
        <v>745</v>
      </c>
      <c r="B564" s="113">
        <v>44448</v>
      </c>
      <c r="C564" t="s">
        <v>162</v>
      </c>
      <c r="D564" t="s">
        <v>195</v>
      </c>
      <c r="E564">
        <v>42</v>
      </c>
      <c r="F564">
        <v>786</v>
      </c>
      <c r="G564" t="s">
        <v>155</v>
      </c>
      <c r="H564">
        <v>54682.414620000003</v>
      </c>
      <c r="I564">
        <v>54682.414620000003</v>
      </c>
      <c r="J564" t="s">
        <v>148</v>
      </c>
      <c r="K564" t="s">
        <v>148</v>
      </c>
      <c r="L564">
        <v>6</v>
      </c>
      <c r="M564" t="s">
        <v>149</v>
      </c>
      <c r="N564">
        <v>4</v>
      </c>
      <c r="O564">
        <v>1</v>
      </c>
      <c r="P564">
        <v>2</v>
      </c>
      <c r="Q564">
        <v>900</v>
      </c>
      <c r="R564">
        <v>0.92694506600000004</v>
      </c>
      <c r="S564" t="s">
        <v>150</v>
      </c>
      <c r="T564">
        <v>17</v>
      </c>
      <c r="U564">
        <v>1</v>
      </c>
      <c r="V564">
        <v>17</v>
      </c>
      <c r="W564">
        <v>0</v>
      </c>
      <c r="X564" t="s">
        <v>149</v>
      </c>
      <c r="Y564" t="s">
        <v>157</v>
      </c>
    </row>
    <row r="565" spans="1:25">
      <c r="A565" t="s">
        <v>746</v>
      </c>
      <c r="B565" s="113">
        <v>44450</v>
      </c>
      <c r="C565" t="s">
        <v>162</v>
      </c>
      <c r="D565" t="s">
        <v>190</v>
      </c>
      <c r="E565">
        <v>35</v>
      </c>
      <c r="F565">
        <v>752</v>
      </c>
      <c r="G565" t="s">
        <v>176</v>
      </c>
      <c r="H565">
        <v>29485.878280000001</v>
      </c>
      <c r="I565">
        <v>29485.878280000001</v>
      </c>
      <c r="J565" t="s">
        <v>156</v>
      </c>
      <c r="K565" t="s">
        <v>166</v>
      </c>
      <c r="L565">
        <v>0.1</v>
      </c>
      <c r="M565" t="s">
        <v>149</v>
      </c>
      <c r="N565">
        <v>0</v>
      </c>
      <c r="O565">
        <v>7.3</v>
      </c>
      <c r="P565">
        <v>2</v>
      </c>
      <c r="Q565">
        <v>1900</v>
      </c>
      <c r="R565">
        <v>0.85532973400000001</v>
      </c>
      <c r="S565" t="s">
        <v>150</v>
      </c>
      <c r="T565">
        <v>23</v>
      </c>
      <c r="U565">
        <v>0</v>
      </c>
      <c r="V565">
        <v>23</v>
      </c>
      <c r="W565">
        <v>0</v>
      </c>
      <c r="X565" t="s">
        <v>149</v>
      </c>
      <c r="Y565" t="s">
        <v>157</v>
      </c>
    </row>
    <row r="566" spans="1:25">
      <c r="A566" t="s">
        <v>747</v>
      </c>
      <c r="B566" s="113">
        <v>44452</v>
      </c>
      <c r="C566" t="s">
        <v>159</v>
      </c>
      <c r="D566" t="s">
        <v>209</v>
      </c>
      <c r="E566">
        <v>49</v>
      </c>
      <c r="F566">
        <v>754</v>
      </c>
      <c r="G566" t="s">
        <v>169</v>
      </c>
      <c r="H566">
        <v>49584.975440000002</v>
      </c>
      <c r="I566">
        <v>49584.975440000002</v>
      </c>
      <c r="J566" t="s">
        <v>148</v>
      </c>
      <c r="K566" t="s">
        <v>148</v>
      </c>
      <c r="L566">
        <v>0.6</v>
      </c>
      <c r="M566" t="s">
        <v>149</v>
      </c>
      <c r="N566">
        <v>2</v>
      </c>
      <c r="O566">
        <v>7.3</v>
      </c>
      <c r="P566">
        <v>3</v>
      </c>
      <c r="Q566">
        <v>1450</v>
      </c>
      <c r="R566">
        <v>0.76186463299999996</v>
      </c>
      <c r="S566" t="s">
        <v>150</v>
      </c>
      <c r="T566">
        <v>22</v>
      </c>
      <c r="U566">
        <v>0</v>
      </c>
      <c r="V566">
        <v>22</v>
      </c>
      <c r="W566">
        <v>0</v>
      </c>
      <c r="X566" t="s">
        <v>151</v>
      </c>
      <c r="Y566" t="s">
        <v>152</v>
      </c>
    </row>
    <row r="567" spans="1:25">
      <c r="A567" t="s">
        <v>748</v>
      </c>
      <c r="B567" s="113">
        <v>44452</v>
      </c>
      <c r="C567" t="s">
        <v>162</v>
      </c>
      <c r="D567" t="s">
        <v>190</v>
      </c>
      <c r="E567">
        <v>52</v>
      </c>
      <c r="F567">
        <v>671</v>
      </c>
      <c r="G567" t="s">
        <v>176</v>
      </c>
      <c r="H567">
        <v>44778.95693</v>
      </c>
      <c r="I567">
        <v>44778.95693</v>
      </c>
      <c r="J567" t="s">
        <v>148</v>
      </c>
      <c r="K567" t="s">
        <v>148</v>
      </c>
      <c r="L567">
        <v>2.2999999999999998</v>
      </c>
      <c r="M567" t="s">
        <v>149</v>
      </c>
      <c r="N567">
        <v>1</v>
      </c>
      <c r="O567">
        <v>2.2999999999999998</v>
      </c>
      <c r="P567">
        <v>3</v>
      </c>
      <c r="Q567">
        <v>850</v>
      </c>
      <c r="R567">
        <v>0.64893737100000004</v>
      </c>
      <c r="S567" t="s">
        <v>150</v>
      </c>
      <c r="T567">
        <v>13</v>
      </c>
      <c r="U567">
        <v>0</v>
      </c>
      <c r="V567">
        <v>13</v>
      </c>
      <c r="W567">
        <v>0</v>
      </c>
      <c r="X567" t="s">
        <v>151</v>
      </c>
      <c r="Y567" t="s">
        <v>152</v>
      </c>
    </row>
    <row r="568" spans="1:25">
      <c r="A568" t="s">
        <v>749</v>
      </c>
      <c r="B568" s="113">
        <v>44454</v>
      </c>
      <c r="C568" t="s">
        <v>162</v>
      </c>
      <c r="D568" t="s">
        <v>195</v>
      </c>
      <c r="E568">
        <v>37</v>
      </c>
      <c r="F568">
        <v>689</v>
      </c>
      <c r="G568" t="s">
        <v>176</v>
      </c>
      <c r="H568">
        <v>66537.223310000001</v>
      </c>
      <c r="I568">
        <v>66537.223310000001</v>
      </c>
      <c r="J568" t="s">
        <v>221</v>
      </c>
      <c r="K568" t="s">
        <v>166</v>
      </c>
      <c r="L568">
        <v>3.5</v>
      </c>
      <c r="M568" t="s">
        <v>149</v>
      </c>
      <c r="N568">
        <v>4</v>
      </c>
      <c r="O568">
        <v>1.3</v>
      </c>
      <c r="P568">
        <v>0</v>
      </c>
      <c r="Q568">
        <v>1800</v>
      </c>
      <c r="R568">
        <v>0.51943272200000001</v>
      </c>
      <c r="S568" t="s">
        <v>150</v>
      </c>
      <c r="T568">
        <v>23</v>
      </c>
      <c r="U568">
        <v>1</v>
      </c>
      <c r="V568">
        <v>23</v>
      </c>
      <c r="W568">
        <v>0</v>
      </c>
      <c r="X568" t="s">
        <v>149</v>
      </c>
      <c r="Y568" t="s">
        <v>157</v>
      </c>
    </row>
    <row r="569" spans="1:25">
      <c r="A569" t="s">
        <v>750</v>
      </c>
      <c r="B569" s="113">
        <v>44460</v>
      </c>
      <c r="C569" t="s">
        <v>162</v>
      </c>
      <c r="D569" t="s">
        <v>187</v>
      </c>
      <c r="E569">
        <v>52</v>
      </c>
      <c r="F569">
        <v>590</v>
      </c>
      <c r="G569" t="s">
        <v>169</v>
      </c>
      <c r="H569">
        <v>34771.363830000002</v>
      </c>
      <c r="I569">
        <v>34771.363830000002</v>
      </c>
      <c r="J569" t="s">
        <v>183</v>
      </c>
      <c r="K569" t="s">
        <v>183</v>
      </c>
      <c r="L569">
        <v>3.5</v>
      </c>
      <c r="M569" t="s">
        <v>149</v>
      </c>
      <c r="N569">
        <v>2</v>
      </c>
      <c r="O569">
        <v>8.6</v>
      </c>
      <c r="P569">
        <v>2</v>
      </c>
      <c r="Q569">
        <v>1100</v>
      </c>
      <c r="R569">
        <v>0.37665893900000003</v>
      </c>
      <c r="S569" t="s">
        <v>150</v>
      </c>
      <c r="T569">
        <v>12</v>
      </c>
      <c r="U569">
        <v>1</v>
      </c>
      <c r="V569">
        <v>12</v>
      </c>
      <c r="W569">
        <v>0</v>
      </c>
      <c r="X569" t="s">
        <v>149</v>
      </c>
      <c r="Y569" t="s">
        <v>157</v>
      </c>
    </row>
    <row r="570" spans="1:25">
      <c r="A570" t="s">
        <v>751</v>
      </c>
      <c r="B570" s="113">
        <v>44461</v>
      </c>
      <c r="C570" t="s">
        <v>162</v>
      </c>
      <c r="D570" t="s">
        <v>190</v>
      </c>
      <c r="E570">
        <v>38</v>
      </c>
      <c r="F570">
        <v>539</v>
      </c>
      <c r="G570" t="s">
        <v>176</v>
      </c>
      <c r="H570">
        <v>33715.725749999998</v>
      </c>
      <c r="J570" t="s">
        <v>148</v>
      </c>
      <c r="K570" t="s">
        <v>148</v>
      </c>
      <c r="L570">
        <v>3.3</v>
      </c>
      <c r="M570" t="s">
        <v>149</v>
      </c>
      <c r="N570">
        <v>3</v>
      </c>
      <c r="O570">
        <v>3.4</v>
      </c>
      <c r="P570">
        <v>3</v>
      </c>
      <c r="Q570">
        <v>1000</v>
      </c>
      <c r="R570">
        <v>0.224263241</v>
      </c>
      <c r="S570" t="s">
        <v>150</v>
      </c>
      <c r="T570">
        <v>15</v>
      </c>
      <c r="U570">
        <v>0</v>
      </c>
      <c r="V570">
        <v>15</v>
      </c>
      <c r="W570">
        <v>0</v>
      </c>
      <c r="X570" t="s">
        <v>149</v>
      </c>
      <c r="Y570" t="s">
        <v>157</v>
      </c>
    </row>
    <row r="571" spans="1:25">
      <c r="A571" t="s">
        <v>752</v>
      </c>
      <c r="B571" s="113">
        <v>44462</v>
      </c>
      <c r="C571" t="s">
        <v>162</v>
      </c>
      <c r="D571" t="s">
        <v>193</v>
      </c>
      <c r="E571">
        <v>24</v>
      </c>
      <c r="F571">
        <v>618</v>
      </c>
      <c r="G571" t="s">
        <v>155</v>
      </c>
      <c r="H571">
        <v>12153.793030000001</v>
      </c>
      <c r="I571">
        <v>12153.793030000001</v>
      </c>
      <c r="J571" t="s">
        <v>148</v>
      </c>
      <c r="K571" t="s">
        <v>166</v>
      </c>
      <c r="L571">
        <v>0.4</v>
      </c>
      <c r="M571" t="s">
        <v>151</v>
      </c>
      <c r="N571">
        <v>0</v>
      </c>
      <c r="O571">
        <v>8.3000000000000007</v>
      </c>
      <c r="P571">
        <v>2</v>
      </c>
      <c r="Q571">
        <v>800</v>
      </c>
      <c r="R571">
        <v>6.6138639999999999E-2</v>
      </c>
      <c r="S571" t="s">
        <v>198</v>
      </c>
      <c r="Y571" t="s">
        <v>199</v>
      </c>
    </row>
    <row r="572" spans="1:25">
      <c r="A572" t="s">
        <v>753</v>
      </c>
      <c r="B572" s="113">
        <v>44462</v>
      </c>
      <c r="C572" t="s">
        <v>145</v>
      </c>
      <c r="D572" t="s">
        <v>154</v>
      </c>
      <c r="E572">
        <v>50</v>
      </c>
      <c r="F572">
        <v>625</v>
      </c>
      <c r="G572" t="s">
        <v>155</v>
      </c>
      <c r="H572">
        <v>28996.921460000001</v>
      </c>
      <c r="J572" t="s">
        <v>156</v>
      </c>
      <c r="K572" t="s">
        <v>156</v>
      </c>
      <c r="L572">
        <v>3.2</v>
      </c>
      <c r="M572" t="s">
        <v>149</v>
      </c>
      <c r="N572">
        <v>2</v>
      </c>
      <c r="O572">
        <v>4.8</v>
      </c>
      <c r="P572">
        <v>3</v>
      </c>
      <c r="Q572">
        <v>800</v>
      </c>
      <c r="R572">
        <v>9.3675499999999995E-2</v>
      </c>
      <c r="S572" t="s">
        <v>150</v>
      </c>
      <c r="T572">
        <v>19</v>
      </c>
      <c r="U572">
        <v>1</v>
      </c>
      <c r="V572">
        <v>19</v>
      </c>
      <c r="W572">
        <v>0</v>
      </c>
      <c r="X572" t="s">
        <v>151</v>
      </c>
      <c r="Y572" t="s">
        <v>152</v>
      </c>
    </row>
    <row r="573" spans="1:25">
      <c r="A573" t="s">
        <v>754</v>
      </c>
      <c r="B573" s="113">
        <v>44463</v>
      </c>
      <c r="C573" t="s">
        <v>159</v>
      </c>
      <c r="D573" t="s">
        <v>209</v>
      </c>
      <c r="E573">
        <v>59</v>
      </c>
      <c r="F573">
        <v>460</v>
      </c>
      <c r="G573" t="s">
        <v>169</v>
      </c>
      <c r="H573">
        <v>34255.210870000003</v>
      </c>
      <c r="I573">
        <v>34255.210870000003</v>
      </c>
      <c r="J573" t="s">
        <v>148</v>
      </c>
      <c r="K573" t="s">
        <v>148</v>
      </c>
      <c r="L573">
        <v>1.8</v>
      </c>
      <c r="M573" t="s">
        <v>149</v>
      </c>
      <c r="N573">
        <v>2</v>
      </c>
      <c r="O573">
        <v>2.4</v>
      </c>
      <c r="P573">
        <v>3</v>
      </c>
      <c r="Q573">
        <v>1950</v>
      </c>
      <c r="R573">
        <v>0.251096659</v>
      </c>
      <c r="S573" t="s">
        <v>198</v>
      </c>
      <c r="Y573" t="s">
        <v>199</v>
      </c>
    </row>
    <row r="574" spans="1:25">
      <c r="A574" t="s">
        <v>755</v>
      </c>
      <c r="B574" s="113">
        <v>44464</v>
      </c>
      <c r="C574" t="s">
        <v>159</v>
      </c>
      <c r="D574" t="s">
        <v>165</v>
      </c>
      <c r="E574">
        <v>43</v>
      </c>
      <c r="F574">
        <v>678</v>
      </c>
      <c r="G574" t="s">
        <v>147</v>
      </c>
      <c r="H574">
        <v>24087.961299999999</v>
      </c>
      <c r="I574">
        <v>24087.961299999999</v>
      </c>
      <c r="J574" t="s">
        <v>148</v>
      </c>
      <c r="K574" t="s">
        <v>148</v>
      </c>
      <c r="L574">
        <v>3.6</v>
      </c>
      <c r="M574" t="s">
        <v>149</v>
      </c>
      <c r="N574">
        <v>2</v>
      </c>
      <c r="O574">
        <v>3.2</v>
      </c>
      <c r="P574">
        <v>3</v>
      </c>
      <c r="Q574">
        <v>1450</v>
      </c>
      <c r="R574">
        <v>0.40210344599999998</v>
      </c>
      <c r="S574" t="s">
        <v>198</v>
      </c>
      <c r="Y574" t="s">
        <v>199</v>
      </c>
    </row>
    <row r="575" spans="1:25">
      <c r="A575" t="s">
        <v>756</v>
      </c>
      <c r="B575" s="113">
        <v>44464</v>
      </c>
      <c r="C575" t="s">
        <v>145</v>
      </c>
      <c r="D575" t="s">
        <v>154</v>
      </c>
      <c r="E575">
        <v>29</v>
      </c>
      <c r="F575">
        <v>724</v>
      </c>
      <c r="G575" t="s">
        <v>169</v>
      </c>
      <c r="H575">
        <v>114712.5123</v>
      </c>
      <c r="I575">
        <v>114712.5123</v>
      </c>
      <c r="J575" t="s">
        <v>156</v>
      </c>
      <c r="K575" t="s">
        <v>156</v>
      </c>
      <c r="L575">
        <v>0.3</v>
      </c>
      <c r="M575" t="s">
        <v>149</v>
      </c>
      <c r="N575">
        <v>0</v>
      </c>
      <c r="O575">
        <v>0.4</v>
      </c>
      <c r="P575">
        <v>3</v>
      </c>
      <c r="Q575">
        <v>1350</v>
      </c>
      <c r="R575">
        <v>0.54283832499999995</v>
      </c>
      <c r="S575" t="s">
        <v>150</v>
      </c>
      <c r="T575">
        <v>21</v>
      </c>
      <c r="U575">
        <v>1</v>
      </c>
      <c r="V575">
        <v>21</v>
      </c>
      <c r="W575">
        <v>0</v>
      </c>
      <c r="X575" t="s">
        <v>149</v>
      </c>
      <c r="Y575" t="s">
        <v>157</v>
      </c>
    </row>
    <row r="576" spans="1:25">
      <c r="A576" t="s">
        <v>757</v>
      </c>
      <c r="B576" s="113">
        <v>44465</v>
      </c>
      <c r="C576" t="s">
        <v>145</v>
      </c>
      <c r="D576" t="s">
        <v>154</v>
      </c>
      <c r="E576">
        <v>57</v>
      </c>
      <c r="F576">
        <v>847</v>
      </c>
      <c r="G576" t="s">
        <v>169</v>
      </c>
      <c r="H576">
        <v>43319.093540000002</v>
      </c>
      <c r="I576">
        <v>43319.093540000002</v>
      </c>
      <c r="J576" t="s">
        <v>148</v>
      </c>
      <c r="K576" t="s">
        <v>148</v>
      </c>
      <c r="L576">
        <v>9.3000000000000007</v>
      </c>
      <c r="M576" t="s">
        <v>149</v>
      </c>
      <c r="N576">
        <v>2</v>
      </c>
      <c r="O576">
        <v>0.1</v>
      </c>
      <c r="P576">
        <v>2</v>
      </c>
      <c r="Q576">
        <v>800</v>
      </c>
      <c r="R576">
        <v>0.66970616400000005</v>
      </c>
      <c r="S576" t="s">
        <v>150</v>
      </c>
      <c r="T576">
        <v>23</v>
      </c>
      <c r="U576">
        <v>1</v>
      </c>
      <c r="V576">
        <v>23</v>
      </c>
      <c r="W576">
        <v>0</v>
      </c>
      <c r="X576" t="s">
        <v>151</v>
      </c>
      <c r="Y576" t="s">
        <v>152</v>
      </c>
    </row>
    <row r="577" spans="1:25">
      <c r="A577" t="s">
        <v>758</v>
      </c>
      <c r="B577" s="113">
        <v>44466</v>
      </c>
      <c r="C577" t="s">
        <v>159</v>
      </c>
      <c r="D577" t="s">
        <v>168</v>
      </c>
      <c r="E577">
        <v>42</v>
      </c>
      <c r="F577">
        <v>772</v>
      </c>
      <c r="G577" t="s">
        <v>169</v>
      </c>
      <c r="H577">
        <v>32798.787270000001</v>
      </c>
      <c r="I577">
        <v>32798.787270000001</v>
      </c>
      <c r="J577" t="s">
        <v>170</v>
      </c>
      <c r="K577" t="s">
        <v>170</v>
      </c>
      <c r="L577">
        <v>0.6</v>
      </c>
      <c r="M577" t="s">
        <v>149</v>
      </c>
      <c r="N577">
        <v>3</v>
      </c>
      <c r="O577">
        <v>30</v>
      </c>
      <c r="P577">
        <v>4</v>
      </c>
      <c r="Q577">
        <v>1750</v>
      </c>
      <c r="R577">
        <v>0.77946607000000001</v>
      </c>
      <c r="S577" t="s">
        <v>150</v>
      </c>
      <c r="T577">
        <v>12</v>
      </c>
      <c r="U577">
        <v>0</v>
      </c>
      <c r="V577">
        <v>12</v>
      </c>
      <c r="W577">
        <v>0</v>
      </c>
      <c r="X577" t="s">
        <v>151</v>
      </c>
      <c r="Y577" t="s">
        <v>152</v>
      </c>
    </row>
    <row r="578" spans="1:25">
      <c r="A578" t="s">
        <v>759</v>
      </c>
      <c r="B578" s="113">
        <v>44466</v>
      </c>
      <c r="C578" t="s">
        <v>162</v>
      </c>
      <c r="D578" t="s">
        <v>179</v>
      </c>
      <c r="E578">
        <v>43</v>
      </c>
      <c r="F578">
        <v>730</v>
      </c>
      <c r="G578" t="s">
        <v>169</v>
      </c>
      <c r="H578">
        <v>78576.116110000003</v>
      </c>
      <c r="I578">
        <v>78576.116110000003</v>
      </c>
      <c r="J578" t="s">
        <v>148</v>
      </c>
      <c r="K578" t="s">
        <v>148</v>
      </c>
      <c r="L578">
        <v>2.1</v>
      </c>
      <c r="M578" t="s">
        <v>149</v>
      </c>
      <c r="N578">
        <v>3</v>
      </c>
      <c r="O578">
        <v>6.9</v>
      </c>
      <c r="P578">
        <v>3</v>
      </c>
      <c r="Q578">
        <v>1350</v>
      </c>
      <c r="R578">
        <v>0.86931417600000005</v>
      </c>
      <c r="S578" t="s">
        <v>150</v>
      </c>
      <c r="T578">
        <v>21</v>
      </c>
      <c r="U578">
        <v>1</v>
      </c>
      <c r="V578">
        <v>21</v>
      </c>
      <c r="W578">
        <v>0</v>
      </c>
      <c r="X578" t="s">
        <v>149</v>
      </c>
      <c r="Y578" t="s">
        <v>157</v>
      </c>
    </row>
    <row r="579" spans="1:25">
      <c r="A579" t="s">
        <v>760</v>
      </c>
      <c r="B579" s="113">
        <v>44468</v>
      </c>
      <c r="C579" t="s">
        <v>145</v>
      </c>
      <c r="D579" t="s">
        <v>213</v>
      </c>
      <c r="E579">
        <v>45</v>
      </c>
      <c r="F579">
        <v>655</v>
      </c>
      <c r="G579" t="s">
        <v>147</v>
      </c>
      <c r="H579">
        <v>83727.765150000007</v>
      </c>
      <c r="I579">
        <v>83727.765150000007</v>
      </c>
      <c r="J579" t="s">
        <v>148</v>
      </c>
      <c r="K579" t="s">
        <v>148</v>
      </c>
      <c r="L579">
        <v>4.7</v>
      </c>
      <c r="M579" t="s">
        <v>149</v>
      </c>
      <c r="N579">
        <v>1</v>
      </c>
      <c r="O579">
        <v>4.7</v>
      </c>
      <c r="P579">
        <v>2</v>
      </c>
      <c r="Q579">
        <v>850</v>
      </c>
      <c r="R579">
        <v>0.93695527599999995</v>
      </c>
      <c r="S579" t="s">
        <v>150</v>
      </c>
      <c r="T579">
        <v>15</v>
      </c>
      <c r="U579">
        <v>1</v>
      </c>
      <c r="V579">
        <v>15</v>
      </c>
      <c r="W579">
        <v>0</v>
      </c>
      <c r="X579" t="s">
        <v>149</v>
      </c>
      <c r="Y579" t="s">
        <v>157</v>
      </c>
    </row>
    <row r="580" spans="1:25">
      <c r="A580" t="s">
        <v>761</v>
      </c>
      <c r="B580" s="113">
        <v>44468</v>
      </c>
      <c r="C580" t="s">
        <v>162</v>
      </c>
      <c r="D580" t="s">
        <v>179</v>
      </c>
      <c r="E580">
        <v>58</v>
      </c>
      <c r="F580">
        <v>799</v>
      </c>
      <c r="G580" t="s">
        <v>155</v>
      </c>
      <c r="H580">
        <v>73535.554900000003</v>
      </c>
      <c r="I580">
        <v>73535.554900000003</v>
      </c>
      <c r="J580" t="s">
        <v>156</v>
      </c>
      <c r="K580" t="s">
        <v>156</v>
      </c>
      <c r="L580">
        <v>3.2</v>
      </c>
      <c r="M580" t="s">
        <v>149</v>
      </c>
      <c r="N580">
        <v>7</v>
      </c>
      <c r="O580">
        <v>0.5</v>
      </c>
      <c r="P580">
        <v>3</v>
      </c>
      <c r="Q580">
        <v>1200</v>
      </c>
      <c r="R580">
        <v>0.98066144700000002</v>
      </c>
      <c r="S580" t="s">
        <v>150</v>
      </c>
      <c r="T580">
        <v>14</v>
      </c>
      <c r="U580">
        <v>0</v>
      </c>
      <c r="V580">
        <v>14</v>
      </c>
      <c r="W580">
        <v>0</v>
      </c>
      <c r="X580" t="s">
        <v>149</v>
      </c>
      <c r="Y580" t="s">
        <v>157</v>
      </c>
    </row>
    <row r="581" spans="1:25">
      <c r="A581" t="s">
        <v>762</v>
      </c>
      <c r="B581" s="113">
        <v>44469</v>
      </c>
      <c r="C581" t="s">
        <v>159</v>
      </c>
      <c r="D581" t="s">
        <v>209</v>
      </c>
      <c r="E581">
        <v>30</v>
      </c>
      <c r="F581">
        <v>656</v>
      </c>
      <c r="G581" t="s">
        <v>176</v>
      </c>
      <c r="H581">
        <v>41895.366569999998</v>
      </c>
      <c r="J581" t="s">
        <v>148</v>
      </c>
      <c r="K581" t="s">
        <v>148</v>
      </c>
      <c r="L581">
        <v>1.3</v>
      </c>
      <c r="M581" t="s">
        <v>149</v>
      </c>
      <c r="N581">
        <v>0</v>
      </c>
      <c r="O581">
        <v>0.9</v>
      </c>
      <c r="P581">
        <v>1</v>
      </c>
      <c r="Q581">
        <v>800</v>
      </c>
      <c r="R581">
        <v>0.99931619599999999</v>
      </c>
      <c r="S581" t="s">
        <v>150</v>
      </c>
      <c r="T581">
        <v>17</v>
      </c>
      <c r="U581">
        <v>0</v>
      </c>
      <c r="V581">
        <v>17</v>
      </c>
      <c r="W581">
        <v>0</v>
      </c>
      <c r="X581" t="s">
        <v>151</v>
      </c>
      <c r="Y581" t="s">
        <v>152</v>
      </c>
    </row>
    <row r="582" spans="1:25">
      <c r="A582" t="s">
        <v>763</v>
      </c>
      <c r="B582" s="113">
        <v>44471</v>
      </c>
      <c r="C582" t="s">
        <v>162</v>
      </c>
      <c r="D582" t="s">
        <v>187</v>
      </c>
      <c r="E582">
        <v>56</v>
      </c>
      <c r="F582">
        <v>800</v>
      </c>
      <c r="G582" t="s">
        <v>155</v>
      </c>
      <c r="H582">
        <v>59933.454460000001</v>
      </c>
      <c r="I582">
        <v>59933.454460000001</v>
      </c>
      <c r="J582" t="s">
        <v>148</v>
      </c>
      <c r="K582" t="s">
        <v>148</v>
      </c>
      <c r="L582">
        <v>1</v>
      </c>
      <c r="M582" t="s">
        <v>149</v>
      </c>
      <c r="N582">
        <v>2</v>
      </c>
      <c r="O582">
        <v>15.7</v>
      </c>
      <c r="P582">
        <v>1</v>
      </c>
      <c r="Q582">
        <v>1150</v>
      </c>
      <c r="R582">
        <v>0.99244298099999995</v>
      </c>
      <c r="S582" t="s">
        <v>150</v>
      </c>
      <c r="T582">
        <v>13</v>
      </c>
      <c r="U582">
        <v>0</v>
      </c>
      <c r="V582">
        <v>13</v>
      </c>
      <c r="W582">
        <v>0</v>
      </c>
      <c r="X582" t="s">
        <v>149</v>
      </c>
      <c r="Y582" t="s">
        <v>157</v>
      </c>
    </row>
    <row r="583" spans="1:25">
      <c r="A583" t="s">
        <v>764</v>
      </c>
      <c r="B583" s="113">
        <v>44474</v>
      </c>
      <c r="C583" t="s">
        <v>145</v>
      </c>
      <c r="D583" t="s">
        <v>154</v>
      </c>
      <c r="E583">
        <v>36</v>
      </c>
      <c r="F583">
        <v>582</v>
      </c>
      <c r="G583" t="s">
        <v>155</v>
      </c>
      <c r="H583">
        <v>3650009</v>
      </c>
      <c r="I583">
        <v>3650009</v>
      </c>
      <c r="J583" t="s">
        <v>181</v>
      </c>
      <c r="K583" t="s">
        <v>181</v>
      </c>
      <c r="L583">
        <v>0.5</v>
      </c>
      <c r="M583" t="s">
        <v>149</v>
      </c>
      <c r="N583">
        <v>4</v>
      </c>
      <c r="O583">
        <v>3.8</v>
      </c>
      <c r="P583">
        <v>2</v>
      </c>
      <c r="Q583">
        <v>0</v>
      </c>
      <c r="R583">
        <v>0.96021737900000004</v>
      </c>
      <c r="S583" t="s">
        <v>198</v>
      </c>
      <c r="T583">
        <v>0</v>
      </c>
      <c r="U583">
        <v>0</v>
      </c>
      <c r="V583">
        <v>0</v>
      </c>
      <c r="W583">
        <v>0</v>
      </c>
      <c r="X583" t="s">
        <v>149</v>
      </c>
      <c r="Y583" t="s">
        <v>199</v>
      </c>
    </row>
    <row r="584" spans="1:25">
      <c r="A584" t="s">
        <v>765</v>
      </c>
      <c r="B584" s="113">
        <v>44476</v>
      </c>
      <c r="C584" t="s">
        <v>162</v>
      </c>
      <c r="D584" t="s">
        <v>195</v>
      </c>
      <c r="E584">
        <v>33</v>
      </c>
      <c r="F584">
        <v>805</v>
      </c>
      <c r="G584" t="s">
        <v>169</v>
      </c>
      <c r="H584">
        <v>54951.606679999997</v>
      </c>
      <c r="J584" t="s">
        <v>148</v>
      </c>
      <c r="K584" t="s">
        <v>148</v>
      </c>
      <c r="L584">
        <v>0.4</v>
      </c>
      <c r="M584" t="s">
        <v>149</v>
      </c>
      <c r="N584">
        <v>1</v>
      </c>
      <c r="O584">
        <v>8</v>
      </c>
      <c r="P584">
        <v>3</v>
      </c>
      <c r="Q584">
        <v>850</v>
      </c>
      <c r="R584">
        <v>0.90346260899999997</v>
      </c>
      <c r="S584" t="s">
        <v>150</v>
      </c>
      <c r="T584">
        <v>13</v>
      </c>
      <c r="U584">
        <v>0</v>
      </c>
      <c r="V584">
        <v>13</v>
      </c>
      <c r="W584">
        <v>0</v>
      </c>
      <c r="X584" t="s">
        <v>149</v>
      </c>
      <c r="Y584" t="s">
        <v>157</v>
      </c>
    </row>
    <row r="585" spans="1:25">
      <c r="A585" t="s">
        <v>766</v>
      </c>
      <c r="B585" s="113">
        <v>44478</v>
      </c>
      <c r="C585" t="s">
        <v>159</v>
      </c>
      <c r="D585" t="s">
        <v>165</v>
      </c>
      <c r="E585">
        <v>31</v>
      </c>
      <c r="F585">
        <v>775</v>
      </c>
      <c r="G585" t="s">
        <v>147</v>
      </c>
      <c r="H585">
        <v>52847.7955</v>
      </c>
      <c r="J585" t="s">
        <v>148</v>
      </c>
      <c r="K585" t="s">
        <v>148</v>
      </c>
      <c r="L585">
        <v>15.5</v>
      </c>
      <c r="M585" t="s">
        <v>149</v>
      </c>
      <c r="N585">
        <v>3</v>
      </c>
      <c r="O585">
        <v>0.7</v>
      </c>
      <c r="P585">
        <v>3</v>
      </c>
      <c r="Q585">
        <v>950</v>
      </c>
      <c r="R585">
        <v>0.82362849400000004</v>
      </c>
      <c r="S585" t="s">
        <v>150</v>
      </c>
      <c r="T585">
        <v>8</v>
      </c>
      <c r="U585">
        <v>0</v>
      </c>
      <c r="V585">
        <v>8</v>
      </c>
      <c r="W585">
        <v>0</v>
      </c>
      <c r="X585" t="s">
        <v>151</v>
      </c>
      <c r="Y585" t="s">
        <v>152</v>
      </c>
    </row>
    <row r="586" spans="1:25">
      <c r="A586" t="s">
        <v>767</v>
      </c>
      <c r="B586" s="113">
        <v>44478</v>
      </c>
      <c r="C586" t="s">
        <v>145</v>
      </c>
      <c r="D586" t="s">
        <v>172</v>
      </c>
      <c r="E586">
        <v>39</v>
      </c>
      <c r="F586">
        <v>723</v>
      </c>
      <c r="G586" t="s">
        <v>169</v>
      </c>
      <c r="H586">
        <v>39623.546670000003</v>
      </c>
      <c r="J586" t="s">
        <v>148</v>
      </c>
      <c r="K586" t="s">
        <v>148</v>
      </c>
      <c r="L586">
        <v>2</v>
      </c>
      <c r="M586" t="s">
        <v>149</v>
      </c>
      <c r="N586">
        <v>3</v>
      </c>
      <c r="O586">
        <v>6.6</v>
      </c>
      <c r="P586">
        <v>3</v>
      </c>
      <c r="Q586">
        <v>1300</v>
      </c>
      <c r="R586">
        <v>0.72275443299999997</v>
      </c>
      <c r="S586" t="s">
        <v>150</v>
      </c>
      <c r="T586">
        <v>15</v>
      </c>
      <c r="U586">
        <v>0</v>
      </c>
      <c r="V586">
        <v>15</v>
      </c>
      <c r="W586">
        <v>0</v>
      </c>
      <c r="X586" t="s">
        <v>151</v>
      </c>
      <c r="Y586" t="s">
        <v>152</v>
      </c>
    </row>
    <row r="587" spans="1:25">
      <c r="A587" t="s">
        <v>768</v>
      </c>
      <c r="B587" s="113">
        <v>44481</v>
      </c>
      <c r="C587" t="s">
        <v>162</v>
      </c>
      <c r="D587" t="s">
        <v>195</v>
      </c>
      <c r="E587">
        <v>35</v>
      </c>
      <c r="F587">
        <v>755</v>
      </c>
      <c r="G587" t="s">
        <v>147</v>
      </c>
      <c r="H587">
        <v>129403.6491</v>
      </c>
      <c r="I587">
        <v>129403.6491</v>
      </c>
      <c r="J587" t="s">
        <v>148</v>
      </c>
      <c r="K587" t="s">
        <v>148</v>
      </c>
      <c r="L587">
        <v>0.4</v>
      </c>
      <c r="M587" t="s">
        <v>149</v>
      </c>
      <c r="N587">
        <v>1</v>
      </c>
      <c r="O587">
        <v>8.1999999999999993</v>
      </c>
      <c r="P587">
        <v>1</v>
      </c>
      <c r="Q587">
        <v>800</v>
      </c>
      <c r="R587">
        <v>0.60341729700000002</v>
      </c>
      <c r="S587" t="s">
        <v>150</v>
      </c>
      <c r="T587">
        <v>23</v>
      </c>
      <c r="U587">
        <v>0</v>
      </c>
      <c r="V587">
        <v>23</v>
      </c>
      <c r="W587">
        <v>0</v>
      </c>
      <c r="X587" t="s">
        <v>149</v>
      </c>
      <c r="Y587" t="s">
        <v>157</v>
      </c>
    </row>
    <row r="588" spans="1:25">
      <c r="A588" t="s">
        <v>769</v>
      </c>
      <c r="B588" s="113">
        <v>44482</v>
      </c>
      <c r="C588" t="s">
        <v>145</v>
      </c>
      <c r="D588" t="s">
        <v>154</v>
      </c>
      <c r="E588">
        <v>48</v>
      </c>
      <c r="F588">
        <v>653</v>
      </c>
      <c r="G588" t="s">
        <v>155</v>
      </c>
      <c r="H588">
        <v>116111.00049999999</v>
      </c>
      <c r="I588">
        <v>116111.00049999999</v>
      </c>
      <c r="J588" t="s">
        <v>148</v>
      </c>
      <c r="K588" t="s">
        <v>148</v>
      </c>
      <c r="L588">
        <v>0.8</v>
      </c>
      <c r="M588" t="s">
        <v>149</v>
      </c>
      <c r="N588">
        <v>1</v>
      </c>
      <c r="O588">
        <v>1.2</v>
      </c>
      <c r="P588">
        <v>2</v>
      </c>
      <c r="Q588">
        <v>1050</v>
      </c>
      <c r="R588">
        <v>0.46866560499999999</v>
      </c>
      <c r="S588" t="s">
        <v>150</v>
      </c>
      <c r="T588">
        <v>19</v>
      </c>
      <c r="U588">
        <v>0</v>
      </c>
      <c r="V588">
        <v>19</v>
      </c>
      <c r="W588">
        <v>0</v>
      </c>
      <c r="X588" t="s">
        <v>149</v>
      </c>
      <c r="Y588" t="s">
        <v>157</v>
      </c>
    </row>
    <row r="589" spans="1:25">
      <c r="A589" t="s">
        <v>770</v>
      </c>
      <c r="B589" s="113">
        <v>44482</v>
      </c>
      <c r="C589" t="s">
        <v>159</v>
      </c>
      <c r="D589" t="s">
        <v>160</v>
      </c>
      <c r="E589">
        <v>47</v>
      </c>
      <c r="F589">
        <v>806</v>
      </c>
      <c r="G589" t="s">
        <v>147</v>
      </c>
      <c r="H589">
        <v>62307.12758</v>
      </c>
      <c r="J589" t="s">
        <v>170</v>
      </c>
      <c r="K589" t="s">
        <v>170</v>
      </c>
      <c r="L589">
        <v>2.4</v>
      </c>
      <c r="M589" t="s">
        <v>149</v>
      </c>
      <c r="N589">
        <v>3</v>
      </c>
      <c r="O589">
        <v>2.4</v>
      </c>
      <c r="P589">
        <v>3</v>
      </c>
      <c r="Q589">
        <v>1450</v>
      </c>
      <c r="R589">
        <v>0.32194164600000003</v>
      </c>
      <c r="S589" t="s">
        <v>150</v>
      </c>
      <c r="T589">
        <v>20</v>
      </c>
      <c r="U589">
        <v>0</v>
      </c>
      <c r="V589">
        <v>20</v>
      </c>
      <c r="W589">
        <v>0</v>
      </c>
      <c r="X589" t="s">
        <v>149</v>
      </c>
      <c r="Y589" t="s">
        <v>157</v>
      </c>
    </row>
    <row r="590" spans="1:25">
      <c r="A590" t="s">
        <v>771</v>
      </c>
      <c r="B590" s="113">
        <v>44484</v>
      </c>
      <c r="C590" t="s">
        <v>162</v>
      </c>
      <c r="D590" t="s">
        <v>193</v>
      </c>
      <c r="E590">
        <v>54</v>
      </c>
      <c r="F590">
        <v>764</v>
      </c>
      <c r="G590" t="s">
        <v>176</v>
      </c>
      <c r="H590">
        <v>38456.929989999997</v>
      </c>
      <c r="I590">
        <v>38456.929989999997</v>
      </c>
      <c r="J590" t="s">
        <v>148</v>
      </c>
      <c r="K590" t="s">
        <v>148</v>
      </c>
      <c r="L590">
        <v>0.1</v>
      </c>
      <c r="M590" t="s">
        <v>151</v>
      </c>
      <c r="N590">
        <v>3</v>
      </c>
      <c r="O590">
        <v>6.1</v>
      </c>
      <c r="P590">
        <v>2</v>
      </c>
      <c r="Q590">
        <v>1250</v>
      </c>
      <c r="R590">
        <v>0.16699354899999999</v>
      </c>
      <c r="S590" t="s">
        <v>198</v>
      </c>
      <c r="Y590" t="s">
        <v>199</v>
      </c>
    </row>
    <row r="591" spans="1:25">
      <c r="A591" t="s">
        <v>772</v>
      </c>
      <c r="B591" s="113">
        <v>44486</v>
      </c>
      <c r="C591" t="s">
        <v>159</v>
      </c>
      <c r="D591" t="s">
        <v>197</v>
      </c>
      <c r="E591">
        <v>62</v>
      </c>
      <c r="F591">
        <v>794</v>
      </c>
      <c r="G591" t="s">
        <v>155</v>
      </c>
      <c r="H591">
        <v>120866.33719999999</v>
      </c>
      <c r="I591">
        <v>120866.33719999999</v>
      </c>
      <c r="J591" t="s">
        <v>148</v>
      </c>
      <c r="K591" t="s">
        <v>148</v>
      </c>
      <c r="L591">
        <v>1.3</v>
      </c>
      <c r="M591" t="s">
        <v>149</v>
      </c>
      <c r="N591">
        <v>1</v>
      </c>
      <c r="O591">
        <v>7.6</v>
      </c>
      <c r="P591">
        <v>3</v>
      </c>
      <c r="Q591">
        <v>900</v>
      </c>
      <c r="R591">
        <v>7.7795290000000003E-3</v>
      </c>
      <c r="S591" t="s">
        <v>150</v>
      </c>
      <c r="T591">
        <v>21</v>
      </c>
      <c r="U591">
        <v>0</v>
      </c>
      <c r="V591">
        <v>21</v>
      </c>
      <c r="W591">
        <v>0</v>
      </c>
      <c r="X591" t="s">
        <v>149</v>
      </c>
      <c r="Y591" t="s">
        <v>157</v>
      </c>
    </row>
    <row r="592" spans="1:25">
      <c r="A592" t="s">
        <v>773</v>
      </c>
      <c r="B592" s="113">
        <v>44488</v>
      </c>
      <c r="C592" t="s">
        <v>145</v>
      </c>
      <c r="D592" t="s">
        <v>280</v>
      </c>
      <c r="E592">
        <v>33</v>
      </c>
      <c r="F592">
        <v>661</v>
      </c>
      <c r="G592" t="s">
        <v>169</v>
      </c>
      <c r="H592">
        <v>27363.62053</v>
      </c>
      <c r="I592">
        <v>27363.62053</v>
      </c>
      <c r="J592" t="s">
        <v>170</v>
      </c>
      <c r="K592" t="s">
        <v>170</v>
      </c>
      <c r="L592">
        <v>0.5</v>
      </c>
      <c r="M592" t="s">
        <v>149</v>
      </c>
      <c r="N592">
        <v>6</v>
      </c>
      <c r="O592">
        <v>2.4</v>
      </c>
      <c r="P592">
        <v>3</v>
      </c>
      <c r="Q592">
        <v>1650</v>
      </c>
      <c r="R592">
        <v>0.15163322200000001</v>
      </c>
      <c r="S592" t="s">
        <v>198</v>
      </c>
      <c r="Y592" t="s">
        <v>199</v>
      </c>
    </row>
    <row r="593" spans="1:25">
      <c r="A593" t="s">
        <v>774</v>
      </c>
      <c r="B593" s="113">
        <v>44489</v>
      </c>
      <c r="C593" t="s">
        <v>145</v>
      </c>
      <c r="D593" t="s">
        <v>172</v>
      </c>
      <c r="E593">
        <v>62</v>
      </c>
      <c r="F593">
        <v>626</v>
      </c>
      <c r="G593" t="s">
        <v>176</v>
      </c>
      <c r="H593">
        <v>36809.271739999996</v>
      </c>
      <c r="I593">
        <v>36809.271739999996</v>
      </c>
      <c r="J593" t="s">
        <v>156</v>
      </c>
      <c r="K593" t="s">
        <v>156</v>
      </c>
      <c r="L593">
        <v>9.4</v>
      </c>
      <c r="M593" t="s">
        <v>149</v>
      </c>
      <c r="N593">
        <v>3</v>
      </c>
      <c r="O593">
        <v>0.1</v>
      </c>
      <c r="P593">
        <v>2</v>
      </c>
      <c r="Q593">
        <v>1300</v>
      </c>
      <c r="R593">
        <v>0.30717243700000002</v>
      </c>
      <c r="S593" t="s">
        <v>150</v>
      </c>
      <c r="T593">
        <v>16</v>
      </c>
      <c r="U593">
        <v>0</v>
      </c>
      <c r="V593">
        <v>16</v>
      </c>
      <c r="W593">
        <v>0</v>
      </c>
      <c r="X593" t="s">
        <v>149</v>
      </c>
      <c r="Y593" t="s">
        <v>157</v>
      </c>
    </row>
    <row r="594" spans="1:25">
      <c r="A594" t="s">
        <v>775</v>
      </c>
      <c r="B594" s="113">
        <v>44490</v>
      </c>
      <c r="C594" t="s">
        <v>145</v>
      </c>
      <c r="D594" t="s">
        <v>154</v>
      </c>
      <c r="E594">
        <v>32</v>
      </c>
      <c r="F594">
        <v>714</v>
      </c>
      <c r="G594" t="s">
        <v>155</v>
      </c>
      <c r="H594">
        <v>47637.479079999997</v>
      </c>
      <c r="J594" t="s">
        <v>148</v>
      </c>
      <c r="K594" t="s">
        <v>148</v>
      </c>
      <c r="L594">
        <v>3.1</v>
      </c>
      <c r="M594" t="s">
        <v>149</v>
      </c>
      <c r="N594">
        <v>4</v>
      </c>
      <c r="O594">
        <v>3</v>
      </c>
      <c r="P594">
        <v>3</v>
      </c>
      <c r="Q594">
        <v>1150</v>
      </c>
      <c r="R594">
        <v>0.45486479899999999</v>
      </c>
      <c r="S594" t="s">
        <v>150</v>
      </c>
      <c r="T594">
        <v>13</v>
      </c>
      <c r="U594">
        <v>0</v>
      </c>
      <c r="V594">
        <v>13</v>
      </c>
      <c r="W594">
        <v>0</v>
      </c>
      <c r="X594" t="s">
        <v>151</v>
      </c>
      <c r="Y594" t="s">
        <v>152</v>
      </c>
    </row>
    <row r="595" spans="1:25">
      <c r="A595" t="s">
        <v>776</v>
      </c>
      <c r="B595" s="113">
        <v>44491</v>
      </c>
      <c r="C595" t="s">
        <v>159</v>
      </c>
      <c r="D595" t="s">
        <v>160</v>
      </c>
      <c r="E595">
        <v>53</v>
      </c>
      <c r="F595">
        <v>521</v>
      </c>
      <c r="G595" t="s">
        <v>147</v>
      </c>
      <c r="H595">
        <v>48159.481500000002</v>
      </c>
      <c r="I595">
        <v>48159.481500000002</v>
      </c>
      <c r="J595" t="s">
        <v>170</v>
      </c>
      <c r="K595" t="s">
        <v>170</v>
      </c>
      <c r="L595">
        <v>0.2</v>
      </c>
      <c r="M595" t="s">
        <v>151</v>
      </c>
      <c r="N595">
        <v>6</v>
      </c>
      <c r="O595">
        <v>1</v>
      </c>
      <c r="P595">
        <v>3</v>
      </c>
      <c r="Q595">
        <v>850</v>
      </c>
      <c r="R595">
        <v>0.59093744199999998</v>
      </c>
      <c r="S595" t="s">
        <v>198</v>
      </c>
      <c r="Y595" t="s">
        <v>199</v>
      </c>
    </row>
    <row r="596" spans="1:25">
      <c r="A596" t="s">
        <v>777</v>
      </c>
      <c r="B596" s="113">
        <v>44492</v>
      </c>
      <c r="C596" t="s">
        <v>145</v>
      </c>
      <c r="D596" t="s">
        <v>172</v>
      </c>
      <c r="E596">
        <v>37</v>
      </c>
      <c r="F596">
        <v>814</v>
      </c>
      <c r="G596" t="s">
        <v>176</v>
      </c>
      <c r="H596">
        <v>20264.899539999999</v>
      </c>
      <c r="I596">
        <v>20264.899539999999</v>
      </c>
      <c r="J596" t="s">
        <v>156</v>
      </c>
      <c r="K596" t="s">
        <v>156</v>
      </c>
      <c r="L596">
        <v>1.3</v>
      </c>
      <c r="M596" t="s">
        <v>149</v>
      </c>
      <c r="N596">
        <v>2</v>
      </c>
      <c r="O596">
        <v>9.3000000000000007</v>
      </c>
      <c r="P596">
        <v>2</v>
      </c>
      <c r="Q596">
        <v>1350</v>
      </c>
      <c r="R596">
        <v>0.71191433299999995</v>
      </c>
      <c r="S596" t="s">
        <v>150</v>
      </c>
      <c r="T596">
        <v>18</v>
      </c>
      <c r="U596">
        <v>2</v>
      </c>
      <c r="V596">
        <v>18</v>
      </c>
      <c r="W596">
        <v>0</v>
      </c>
      <c r="X596" t="s">
        <v>151</v>
      </c>
      <c r="Y596" t="s">
        <v>152</v>
      </c>
    </row>
    <row r="597" spans="1:25">
      <c r="A597" t="s">
        <v>778</v>
      </c>
      <c r="B597" s="113">
        <v>44492</v>
      </c>
      <c r="C597" t="s">
        <v>145</v>
      </c>
      <c r="D597" t="s">
        <v>172</v>
      </c>
      <c r="E597">
        <v>35</v>
      </c>
      <c r="F597">
        <v>614</v>
      </c>
      <c r="G597" t="s">
        <v>155</v>
      </c>
      <c r="H597">
        <v>151291.9074</v>
      </c>
      <c r="I597">
        <v>151291.9074</v>
      </c>
      <c r="J597" t="s">
        <v>148</v>
      </c>
      <c r="K597" t="s">
        <v>148</v>
      </c>
      <c r="L597">
        <v>3.1</v>
      </c>
      <c r="M597" t="s">
        <v>149</v>
      </c>
      <c r="N597">
        <v>1</v>
      </c>
      <c r="O597">
        <v>8.6</v>
      </c>
      <c r="P597">
        <v>4</v>
      </c>
      <c r="Q597">
        <v>800</v>
      </c>
      <c r="R597">
        <v>0.81470506300000001</v>
      </c>
      <c r="S597" t="s">
        <v>150</v>
      </c>
      <c r="T597">
        <v>17</v>
      </c>
      <c r="U597">
        <v>0</v>
      </c>
      <c r="V597">
        <v>17</v>
      </c>
      <c r="W597">
        <v>0</v>
      </c>
      <c r="X597" t="s">
        <v>151</v>
      </c>
      <c r="Y597" t="s">
        <v>152</v>
      </c>
    </row>
    <row r="598" spans="1:25">
      <c r="A598" t="s">
        <v>779</v>
      </c>
      <c r="B598" s="113">
        <v>44494</v>
      </c>
      <c r="C598" t="s">
        <v>159</v>
      </c>
      <c r="D598" t="s">
        <v>160</v>
      </c>
      <c r="E598">
        <v>46</v>
      </c>
      <c r="F598">
        <v>778</v>
      </c>
      <c r="G598" t="s">
        <v>176</v>
      </c>
      <c r="H598">
        <v>113218.6942</v>
      </c>
      <c r="I598">
        <v>113218.6942</v>
      </c>
      <c r="J598" t="s">
        <v>148</v>
      </c>
      <c r="K598" t="s">
        <v>166</v>
      </c>
      <c r="L598">
        <v>10.7</v>
      </c>
      <c r="M598" t="s">
        <v>149</v>
      </c>
      <c r="N598">
        <v>1</v>
      </c>
      <c r="O598">
        <v>2.6</v>
      </c>
      <c r="P598">
        <v>4</v>
      </c>
      <c r="Q598">
        <v>1400</v>
      </c>
      <c r="R598">
        <v>0.89668380000000003</v>
      </c>
      <c r="S598" t="s">
        <v>150</v>
      </c>
      <c r="T598">
        <v>22</v>
      </c>
      <c r="U598">
        <v>0</v>
      </c>
      <c r="V598">
        <v>22</v>
      </c>
      <c r="W598">
        <v>0</v>
      </c>
      <c r="X598" t="s">
        <v>149</v>
      </c>
      <c r="Y598" t="s">
        <v>157</v>
      </c>
    </row>
    <row r="599" spans="1:25">
      <c r="A599" t="s">
        <v>780</v>
      </c>
      <c r="B599" s="113">
        <v>44495</v>
      </c>
      <c r="C599" t="s">
        <v>159</v>
      </c>
      <c r="D599" t="s">
        <v>197</v>
      </c>
      <c r="E599">
        <v>47</v>
      </c>
      <c r="F599">
        <v>568</v>
      </c>
      <c r="G599" t="s">
        <v>176</v>
      </c>
      <c r="H599">
        <v>57860.979420000003</v>
      </c>
      <c r="J599" t="s">
        <v>148</v>
      </c>
      <c r="K599" t="s">
        <v>148</v>
      </c>
      <c r="L599">
        <v>0.2</v>
      </c>
      <c r="M599" t="s">
        <v>149</v>
      </c>
      <c r="N599">
        <v>1</v>
      </c>
      <c r="O599">
        <v>13.7</v>
      </c>
      <c r="P599">
        <v>3</v>
      </c>
      <c r="Q599">
        <v>800</v>
      </c>
      <c r="R599">
        <v>0.95575635999999997</v>
      </c>
      <c r="S599" t="s">
        <v>150</v>
      </c>
      <c r="T599">
        <v>16</v>
      </c>
      <c r="U599">
        <v>0</v>
      </c>
      <c r="V599">
        <v>16</v>
      </c>
      <c r="W599">
        <v>0</v>
      </c>
      <c r="X599" t="s">
        <v>149</v>
      </c>
      <c r="Y599" t="s">
        <v>157</v>
      </c>
    </row>
    <row r="600" spans="1:25">
      <c r="A600" t="s">
        <v>781</v>
      </c>
      <c r="B600" s="113">
        <v>44495</v>
      </c>
      <c r="C600" t="s">
        <v>145</v>
      </c>
      <c r="D600" t="s">
        <v>154</v>
      </c>
      <c r="E600">
        <v>32</v>
      </c>
      <c r="F600">
        <v>835</v>
      </c>
      <c r="G600" t="s">
        <v>169</v>
      </c>
      <c r="H600">
        <v>51758.831530000003</v>
      </c>
      <c r="I600">
        <v>51758.831530000003</v>
      </c>
      <c r="J600" t="s">
        <v>148</v>
      </c>
      <c r="K600" t="s">
        <v>148</v>
      </c>
      <c r="L600">
        <v>11.8</v>
      </c>
      <c r="M600" t="s">
        <v>149</v>
      </c>
      <c r="N600">
        <v>4</v>
      </c>
      <c r="O600">
        <v>18.100000000000001</v>
      </c>
      <c r="P600">
        <v>2</v>
      </c>
      <c r="Q600">
        <v>1400</v>
      </c>
      <c r="R600">
        <v>0.99041371099999997</v>
      </c>
      <c r="S600" t="s">
        <v>150</v>
      </c>
      <c r="T600">
        <v>21</v>
      </c>
      <c r="U600">
        <v>1</v>
      </c>
      <c r="V600">
        <v>21</v>
      </c>
      <c r="W600">
        <v>0</v>
      </c>
      <c r="X600" t="s">
        <v>149</v>
      </c>
      <c r="Y600" t="s">
        <v>157</v>
      </c>
    </row>
    <row r="601" spans="1:25">
      <c r="A601" t="s">
        <v>782</v>
      </c>
      <c r="B601" s="113">
        <v>44499</v>
      </c>
      <c r="C601" t="s">
        <v>145</v>
      </c>
      <c r="D601" t="s">
        <v>154</v>
      </c>
      <c r="E601">
        <v>49</v>
      </c>
      <c r="F601">
        <v>805</v>
      </c>
      <c r="G601" t="s">
        <v>169</v>
      </c>
      <c r="H601">
        <v>129879.9826</v>
      </c>
      <c r="I601">
        <v>129879.9826</v>
      </c>
      <c r="J601" t="s">
        <v>170</v>
      </c>
      <c r="K601" t="s">
        <v>170</v>
      </c>
      <c r="L601">
        <v>9.9</v>
      </c>
      <c r="M601" t="s">
        <v>149</v>
      </c>
      <c r="N601">
        <v>1</v>
      </c>
      <c r="O601">
        <v>2.6</v>
      </c>
      <c r="P601">
        <v>3</v>
      </c>
      <c r="Q601">
        <v>1450</v>
      </c>
      <c r="R601">
        <v>0.99977051299999997</v>
      </c>
      <c r="S601" t="s">
        <v>150</v>
      </c>
      <c r="T601">
        <v>22</v>
      </c>
      <c r="U601">
        <v>0</v>
      </c>
      <c r="V601">
        <v>22</v>
      </c>
      <c r="W601">
        <v>0</v>
      </c>
      <c r="X601" t="s">
        <v>149</v>
      </c>
      <c r="Y601" t="s">
        <v>157</v>
      </c>
    </row>
    <row r="602" spans="1:25">
      <c r="A602" t="s">
        <v>783</v>
      </c>
      <c r="B602" s="113">
        <v>44499</v>
      </c>
      <c r="C602" t="s">
        <v>162</v>
      </c>
      <c r="D602" t="s">
        <v>187</v>
      </c>
      <c r="E602">
        <v>36</v>
      </c>
      <c r="F602">
        <v>737</v>
      </c>
      <c r="G602" t="s">
        <v>169</v>
      </c>
      <c r="H602">
        <v>45866.775000000001</v>
      </c>
      <c r="I602">
        <v>45866.775000000001</v>
      </c>
      <c r="J602" t="s">
        <v>221</v>
      </c>
      <c r="K602" t="s">
        <v>221</v>
      </c>
      <c r="L602">
        <v>5.0999999999999996</v>
      </c>
      <c r="M602" t="s">
        <v>149</v>
      </c>
      <c r="N602">
        <v>2</v>
      </c>
      <c r="O602">
        <v>8.1</v>
      </c>
      <c r="P602">
        <v>1</v>
      </c>
      <c r="Q602">
        <v>1500</v>
      </c>
      <c r="R602">
        <v>0.98358774500000001</v>
      </c>
      <c r="S602" t="s">
        <v>150</v>
      </c>
      <c r="T602">
        <v>12</v>
      </c>
      <c r="U602">
        <v>0</v>
      </c>
      <c r="V602">
        <v>12</v>
      </c>
      <c r="W602">
        <v>0</v>
      </c>
      <c r="X602" t="s">
        <v>149</v>
      </c>
      <c r="Y602" t="s">
        <v>157</v>
      </c>
    </row>
    <row r="603" spans="1:25">
      <c r="A603" t="s">
        <v>784</v>
      </c>
      <c r="B603" s="113">
        <v>44500</v>
      </c>
      <c r="C603" t="s">
        <v>162</v>
      </c>
      <c r="D603" t="s">
        <v>179</v>
      </c>
      <c r="E603">
        <v>48</v>
      </c>
      <c r="F603">
        <v>713</v>
      </c>
      <c r="G603" t="s">
        <v>147</v>
      </c>
      <c r="H603">
        <v>59862.866999999998</v>
      </c>
      <c r="I603">
        <v>59862.866999999998</v>
      </c>
      <c r="J603" t="s">
        <v>249</v>
      </c>
      <c r="K603" t="s">
        <v>249</v>
      </c>
      <c r="L603">
        <v>0.6</v>
      </c>
      <c r="M603" t="s">
        <v>149</v>
      </c>
      <c r="N603">
        <v>1</v>
      </c>
      <c r="O603">
        <v>4.4000000000000004</v>
      </c>
      <c r="P603">
        <v>3</v>
      </c>
      <c r="Q603">
        <v>1500</v>
      </c>
      <c r="R603">
        <v>0.94227880200000003</v>
      </c>
      <c r="S603" t="s">
        <v>150</v>
      </c>
      <c r="T603">
        <v>21</v>
      </c>
      <c r="U603">
        <v>0</v>
      </c>
      <c r="V603">
        <v>21</v>
      </c>
      <c r="W603">
        <v>0</v>
      </c>
      <c r="X603" t="s">
        <v>151</v>
      </c>
      <c r="Y603" t="s">
        <v>152</v>
      </c>
    </row>
    <row r="604" spans="1:25">
      <c r="A604" t="s">
        <v>785</v>
      </c>
      <c r="B604" s="113">
        <v>44506</v>
      </c>
      <c r="C604" t="s">
        <v>162</v>
      </c>
      <c r="D604" t="s">
        <v>163</v>
      </c>
      <c r="E604">
        <v>58</v>
      </c>
      <c r="F604">
        <v>786</v>
      </c>
      <c r="G604" t="s">
        <v>176</v>
      </c>
      <c r="H604">
        <v>57352.46256</v>
      </c>
      <c r="I604">
        <v>57352.46256</v>
      </c>
      <c r="J604" t="s">
        <v>148</v>
      </c>
      <c r="K604" t="s">
        <v>148</v>
      </c>
      <c r="L604">
        <v>3</v>
      </c>
      <c r="M604" t="s">
        <v>149</v>
      </c>
      <c r="N604">
        <v>4</v>
      </c>
      <c r="O604">
        <v>0.1</v>
      </c>
      <c r="P604">
        <v>3</v>
      </c>
      <c r="Q604">
        <v>1100</v>
      </c>
      <c r="R604">
        <v>0.87689893900000004</v>
      </c>
      <c r="S604" t="s">
        <v>150</v>
      </c>
      <c r="T604">
        <v>16</v>
      </c>
      <c r="U604">
        <v>0</v>
      </c>
      <c r="V604">
        <v>16</v>
      </c>
      <c r="W604">
        <v>0</v>
      </c>
      <c r="X604" t="s">
        <v>149</v>
      </c>
      <c r="Y604" t="s">
        <v>157</v>
      </c>
    </row>
    <row r="605" spans="1:25">
      <c r="A605" t="s">
        <v>786</v>
      </c>
      <c r="B605" s="113">
        <v>44509</v>
      </c>
      <c r="C605" t="s">
        <v>162</v>
      </c>
      <c r="D605" t="s">
        <v>193</v>
      </c>
      <c r="E605">
        <v>56</v>
      </c>
      <c r="F605">
        <v>622</v>
      </c>
      <c r="G605" t="s">
        <v>147</v>
      </c>
      <c r="H605">
        <v>40234.286670000001</v>
      </c>
      <c r="J605" t="s">
        <v>148</v>
      </c>
      <c r="K605" t="s">
        <v>148</v>
      </c>
      <c r="L605">
        <v>1.9</v>
      </c>
      <c r="M605" t="s">
        <v>149</v>
      </c>
      <c r="N605">
        <v>4</v>
      </c>
      <c r="O605">
        <v>4.5</v>
      </c>
      <c r="P605">
        <v>2</v>
      </c>
      <c r="Q605">
        <v>1100</v>
      </c>
      <c r="R605">
        <v>0.78911831200000004</v>
      </c>
      <c r="S605" t="s">
        <v>150</v>
      </c>
      <c r="T605">
        <v>7</v>
      </c>
      <c r="U605">
        <v>0</v>
      </c>
      <c r="V605">
        <v>7</v>
      </c>
      <c r="W605">
        <v>0</v>
      </c>
      <c r="X605" t="s">
        <v>151</v>
      </c>
      <c r="Y605" t="s">
        <v>152</v>
      </c>
    </row>
    <row r="606" spans="1:25">
      <c r="A606" t="s">
        <v>787</v>
      </c>
      <c r="B606" s="113">
        <v>44510</v>
      </c>
      <c r="C606" t="s">
        <v>162</v>
      </c>
      <c r="D606" t="s">
        <v>190</v>
      </c>
      <c r="E606">
        <v>61</v>
      </c>
      <c r="F606">
        <v>666</v>
      </c>
      <c r="G606" t="s">
        <v>155</v>
      </c>
      <c r="H606">
        <v>104025.3613</v>
      </c>
      <c r="I606">
        <v>104025.3613</v>
      </c>
      <c r="J606" t="s">
        <v>156</v>
      </c>
      <c r="K606" t="s">
        <v>156</v>
      </c>
      <c r="L606">
        <v>0.7</v>
      </c>
      <c r="M606" t="s">
        <v>149</v>
      </c>
      <c r="N606">
        <v>4</v>
      </c>
      <c r="O606">
        <v>5</v>
      </c>
      <c r="P606">
        <v>3</v>
      </c>
      <c r="Q606">
        <v>1650</v>
      </c>
      <c r="R606">
        <v>0.68117931600000003</v>
      </c>
      <c r="S606" t="s">
        <v>150</v>
      </c>
      <c r="T606">
        <v>13</v>
      </c>
      <c r="U606">
        <v>0</v>
      </c>
      <c r="V606">
        <v>13</v>
      </c>
      <c r="W606">
        <v>0</v>
      </c>
      <c r="X606" t="s">
        <v>149</v>
      </c>
      <c r="Y606" t="s">
        <v>157</v>
      </c>
    </row>
    <row r="607" spans="1:25">
      <c r="A607" t="s">
        <v>788</v>
      </c>
      <c r="B607" s="113">
        <v>44511</v>
      </c>
      <c r="C607" t="s">
        <v>159</v>
      </c>
      <c r="D607" t="s">
        <v>197</v>
      </c>
      <c r="E607">
        <v>35</v>
      </c>
      <c r="F607">
        <v>590</v>
      </c>
      <c r="G607" t="s">
        <v>176</v>
      </c>
      <c r="H607">
        <v>23167.312689999999</v>
      </c>
      <c r="J607" t="s">
        <v>148</v>
      </c>
      <c r="K607" t="s">
        <v>148</v>
      </c>
      <c r="L607">
        <v>4.7</v>
      </c>
      <c r="M607" t="s">
        <v>149</v>
      </c>
      <c r="N607">
        <v>5</v>
      </c>
      <c r="O607">
        <v>5.7</v>
      </c>
      <c r="P607">
        <v>3</v>
      </c>
      <c r="Q607">
        <v>1150</v>
      </c>
      <c r="R607">
        <v>0.55583930000000004</v>
      </c>
      <c r="S607" t="s">
        <v>150</v>
      </c>
      <c r="T607">
        <v>9</v>
      </c>
      <c r="U607">
        <v>0</v>
      </c>
      <c r="V607">
        <v>9</v>
      </c>
      <c r="W607">
        <v>0</v>
      </c>
      <c r="X607" t="s">
        <v>151</v>
      </c>
      <c r="Y607" t="s">
        <v>152</v>
      </c>
    </row>
    <row r="608" spans="1:25">
      <c r="A608" t="s">
        <v>789</v>
      </c>
      <c r="B608" s="113">
        <v>44512</v>
      </c>
      <c r="C608" t="s">
        <v>162</v>
      </c>
      <c r="D608" t="s">
        <v>195</v>
      </c>
      <c r="E608">
        <v>29</v>
      </c>
      <c r="F608">
        <v>638</v>
      </c>
      <c r="G608" t="s">
        <v>169</v>
      </c>
      <c r="H608">
        <v>114942.2003</v>
      </c>
      <c r="I608">
        <v>114942.2003</v>
      </c>
      <c r="J608" t="s">
        <v>148</v>
      </c>
      <c r="K608" t="s">
        <v>148</v>
      </c>
      <c r="L608">
        <v>6.7</v>
      </c>
      <c r="M608" t="s">
        <v>149</v>
      </c>
      <c r="N608">
        <v>4</v>
      </c>
      <c r="O608">
        <v>11.8</v>
      </c>
      <c r="P608">
        <v>2</v>
      </c>
      <c r="Q608">
        <v>1000</v>
      </c>
      <c r="R608">
        <v>0.41630012700000002</v>
      </c>
      <c r="S608" t="s">
        <v>150</v>
      </c>
      <c r="T608">
        <v>14</v>
      </c>
      <c r="U608">
        <v>0</v>
      </c>
      <c r="V608">
        <v>14</v>
      </c>
      <c r="W608">
        <v>0</v>
      </c>
      <c r="X608" t="s">
        <v>149</v>
      </c>
      <c r="Y608" t="s">
        <v>157</v>
      </c>
    </row>
    <row r="609" spans="1:25">
      <c r="A609" t="s">
        <v>790</v>
      </c>
      <c r="B609" s="113">
        <v>44515</v>
      </c>
      <c r="C609" t="s">
        <v>159</v>
      </c>
      <c r="D609" t="s">
        <v>209</v>
      </c>
      <c r="E609">
        <v>51</v>
      </c>
      <c r="F609">
        <v>820</v>
      </c>
      <c r="G609" t="s">
        <v>176</v>
      </c>
      <c r="H609">
        <v>16956.650509999999</v>
      </c>
      <c r="I609">
        <v>16956.650509999999</v>
      </c>
      <c r="J609" t="s">
        <v>148</v>
      </c>
      <c r="K609" t="s">
        <v>148</v>
      </c>
      <c r="L609">
        <v>5</v>
      </c>
      <c r="M609" t="s">
        <v>149</v>
      </c>
      <c r="N609">
        <v>3</v>
      </c>
      <c r="O609">
        <v>0.8</v>
      </c>
      <c r="P609">
        <v>3</v>
      </c>
      <c r="Q609">
        <v>1200</v>
      </c>
      <c r="R609">
        <v>0.26612638799999999</v>
      </c>
      <c r="S609" t="s">
        <v>198</v>
      </c>
      <c r="Y609" t="s">
        <v>199</v>
      </c>
    </row>
    <row r="610" spans="1:25">
      <c r="A610" t="s">
        <v>791</v>
      </c>
      <c r="B610" s="113">
        <v>44518</v>
      </c>
      <c r="C610" t="s">
        <v>162</v>
      </c>
      <c r="D610" t="s">
        <v>187</v>
      </c>
      <c r="E610">
        <v>43</v>
      </c>
      <c r="F610">
        <v>747</v>
      </c>
      <c r="G610" t="s">
        <v>147</v>
      </c>
      <c r="H610">
        <v>30051.080239999999</v>
      </c>
      <c r="I610">
        <v>30051.080239999999</v>
      </c>
      <c r="J610" t="s">
        <v>148</v>
      </c>
      <c r="K610" t="s">
        <v>148</v>
      </c>
      <c r="L610">
        <v>4.5999999999999996</v>
      </c>
      <c r="M610" t="s">
        <v>149</v>
      </c>
      <c r="N610">
        <v>1</v>
      </c>
      <c r="O610">
        <v>0.8</v>
      </c>
      <c r="P610">
        <v>4</v>
      </c>
      <c r="Q610">
        <v>1700</v>
      </c>
      <c r="R610">
        <v>0.10915433500000001</v>
      </c>
      <c r="S610" t="s">
        <v>150</v>
      </c>
      <c r="T610">
        <v>17</v>
      </c>
      <c r="U610">
        <v>1</v>
      </c>
      <c r="V610">
        <v>17</v>
      </c>
      <c r="W610">
        <v>0</v>
      </c>
      <c r="X610" t="s">
        <v>149</v>
      </c>
      <c r="Y610" t="s">
        <v>157</v>
      </c>
    </row>
    <row r="611" spans="1:25">
      <c r="A611" t="s">
        <v>792</v>
      </c>
      <c r="B611" s="113">
        <v>44524</v>
      </c>
      <c r="C611" t="s">
        <v>159</v>
      </c>
      <c r="D611" t="s">
        <v>168</v>
      </c>
      <c r="E611">
        <v>33</v>
      </c>
      <c r="F611">
        <v>630</v>
      </c>
      <c r="G611" t="s">
        <v>176</v>
      </c>
      <c r="H611">
        <v>58790.594140000001</v>
      </c>
      <c r="I611">
        <v>58790.594140000001</v>
      </c>
      <c r="J611" t="s">
        <v>156</v>
      </c>
      <c r="K611" t="s">
        <v>156</v>
      </c>
      <c r="L611">
        <v>2.6</v>
      </c>
      <c r="M611" t="s">
        <v>149</v>
      </c>
      <c r="N611">
        <v>2</v>
      </c>
      <c r="O611">
        <v>2.6</v>
      </c>
      <c r="P611">
        <v>3</v>
      </c>
      <c r="Q611">
        <v>1650</v>
      </c>
      <c r="R611">
        <v>5.0606114000000001E-2</v>
      </c>
      <c r="S611" t="s">
        <v>150</v>
      </c>
      <c r="T611">
        <v>14</v>
      </c>
      <c r="U611">
        <v>0</v>
      </c>
      <c r="V611">
        <v>14</v>
      </c>
      <c r="W611">
        <v>0</v>
      </c>
      <c r="X611" t="s">
        <v>149</v>
      </c>
      <c r="Y611" t="s">
        <v>157</v>
      </c>
    </row>
    <row r="612" spans="1:25">
      <c r="A612" t="s">
        <v>793</v>
      </c>
      <c r="B612" s="113">
        <v>44527</v>
      </c>
      <c r="C612" t="s">
        <v>162</v>
      </c>
      <c r="D612" t="s">
        <v>163</v>
      </c>
      <c r="E612">
        <v>38</v>
      </c>
      <c r="F612">
        <v>711</v>
      </c>
      <c r="G612" t="s">
        <v>176</v>
      </c>
      <c r="H612">
        <v>74684.155339999998</v>
      </c>
      <c r="I612">
        <v>74684.155339999998</v>
      </c>
      <c r="J612" t="s">
        <v>170</v>
      </c>
      <c r="K612" t="s">
        <v>170</v>
      </c>
      <c r="L612">
        <v>4.5999999999999996</v>
      </c>
      <c r="M612" t="s">
        <v>149</v>
      </c>
      <c r="N612">
        <v>3</v>
      </c>
      <c r="O612">
        <v>3.9</v>
      </c>
      <c r="P612">
        <v>3</v>
      </c>
      <c r="Q612">
        <v>1450</v>
      </c>
      <c r="R612">
        <v>0.209073807</v>
      </c>
      <c r="S612" t="s">
        <v>150</v>
      </c>
      <c r="T612">
        <v>16</v>
      </c>
      <c r="U612">
        <v>0</v>
      </c>
      <c r="V612">
        <v>16</v>
      </c>
      <c r="W612">
        <v>0</v>
      </c>
      <c r="X612" t="s">
        <v>149</v>
      </c>
      <c r="Y612" t="s">
        <v>157</v>
      </c>
    </row>
    <row r="613" spans="1:25">
      <c r="A613" t="s">
        <v>794</v>
      </c>
      <c r="B613" s="113">
        <v>44531</v>
      </c>
      <c r="C613" t="s">
        <v>159</v>
      </c>
      <c r="D613" t="s">
        <v>168</v>
      </c>
      <c r="E613">
        <v>55</v>
      </c>
      <c r="F613">
        <v>647</v>
      </c>
      <c r="G613" t="s">
        <v>169</v>
      </c>
      <c r="H613">
        <v>124795.8018</v>
      </c>
      <c r="I613">
        <v>124795.8018</v>
      </c>
      <c r="J613" t="s">
        <v>148</v>
      </c>
      <c r="K613" t="s">
        <v>148</v>
      </c>
      <c r="L613">
        <v>0.6</v>
      </c>
      <c r="M613" t="s">
        <v>149</v>
      </c>
      <c r="N613">
        <v>3</v>
      </c>
      <c r="O613">
        <v>2</v>
      </c>
      <c r="P613">
        <v>1</v>
      </c>
      <c r="Q613">
        <v>1050</v>
      </c>
      <c r="R613">
        <v>0.362200619</v>
      </c>
      <c r="S613" t="s">
        <v>150</v>
      </c>
      <c r="T613">
        <v>16</v>
      </c>
      <c r="U613">
        <v>0</v>
      </c>
      <c r="V613">
        <v>16</v>
      </c>
      <c r="W613">
        <v>0</v>
      </c>
      <c r="X613" t="s">
        <v>149</v>
      </c>
      <c r="Y613" t="s">
        <v>157</v>
      </c>
    </row>
    <row r="614" spans="1:25">
      <c r="A614" t="s">
        <v>795</v>
      </c>
      <c r="B614" s="113">
        <v>44534</v>
      </c>
      <c r="C614" t="s">
        <v>162</v>
      </c>
      <c r="D614" t="s">
        <v>193</v>
      </c>
      <c r="E614">
        <v>46</v>
      </c>
      <c r="F614">
        <v>781</v>
      </c>
      <c r="G614" t="s">
        <v>169</v>
      </c>
      <c r="H614">
        <v>18392.94744</v>
      </c>
      <c r="I614">
        <v>18392.94744</v>
      </c>
      <c r="J614" t="s">
        <v>148</v>
      </c>
      <c r="K614" t="s">
        <v>148</v>
      </c>
      <c r="L614">
        <v>0.6</v>
      </c>
      <c r="M614" t="s">
        <v>149</v>
      </c>
      <c r="N614">
        <v>1</v>
      </c>
      <c r="O614">
        <v>10.199999999999999</v>
      </c>
      <c r="P614">
        <v>3</v>
      </c>
      <c r="Q614">
        <v>800</v>
      </c>
      <c r="R614">
        <v>0.50607485900000004</v>
      </c>
      <c r="S614" t="s">
        <v>150</v>
      </c>
      <c r="T614">
        <v>19</v>
      </c>
      <c r="U614">
        <v>0</v>
      </c>
      <c r="V614">
        <v>19</v>
      </c>
      <c r="W614">
        <v>0</v>
      </c>
      <c r="X614" t="s">
        <v>149</v>
      </c>
      <c r="Y614" t="s">
        <v>157</v>
      </c>
    </row>
    <row r="615" spans="1:25">
      <c r="A615" t="s">
        <v>796</v>
      </c>
      <c r="B615" s="113">
        <v>44535</v>
      </c>
      <c r="C615" t="s">
        <v>145</v>
      </c>
      <c r="D615" t="s">
        <v>146</v>
      </c>
      <c r="E615">
        <v>67</v>
      </c>
      <c r="F615">
        <v>484</v>
      </c>
      <c r="G615" t="s">
        <v>176</v>
      </c>
      <c r="H615">
        <v>45096.532639999998</v>
      </c>
      <c r="I615">
        <v>45096.532639999998</v>
      </c>
      <c r="J615" t="s">
        <v>148</v>
      </c>
      <c r="K615" t="s">
        <v>148</v>
      </c>
      <c r="L615">
        <v>0.5</v>
      </c>
      <c r="M615" t="s">
        <v>149</v>
      </c>
      <c r="N615">
        <v>2</v>
      </c>
      <c r="O615">
        <v>0</v>
      </c>
      <c r="P615">
        <v>4</v>
      </c>
      <c r="Q615">
        <v>1100</v>
      </c>
      <c r="R615">
        <v>0.63702119800000001</v>
      </c>
      <c r="S615" t="s">
        <v>198</v>
      </c>
      <c r="Y615" t="s">
        <v>199</v>
      </c>
    </row>
    <row r="616" spans="1:25">
      <c r="A616" t="s">
        <v>797</v>
      </c>
      <c r="B616" s="113">
        <v>44538</v>
      </c>
      <c r="C616" t="s">
        <v>145</v>
      </c>
      <c r="D616" t="s">
        <v>146</v>
      </c>
      <c r="E616">
        <v>41</v>
      </c>
      <c r="F616">
        <v>839</v>
      </c>
      <c r="G616" t="s">
        <v>176</v>
      </c>
      <c r="H616">
        <v>64682.408719999999</v>
      </c>
      <c r="I616">
        <v>64682.408719999999</v>
      </c>
      <c r="J616" t="s">
        <v>148</v>
      </c>
      <c r="K616" t="s">
        <v>148</v>
      </c>
      <c r="L616">
        <v>0.1</v>
      </c>
      <c r="M616" t="s">
        <v>149</v>
      </c>
      <c r="N616">
        <v>7</v>
      </c>
      <c r="O616">
        <v>3</v>
      </c>
      <c r="P616">
        <v>3</v>
      </c>
      <c r="Q616">
        <v>950</v>
      </c>
      <c r="R616">
        <v>0.75169455399999996</v>
      </c>
      <c r="S616" t="s">
        <v>150</v>
      </c>
      <c r="T616">
        <v>9</v>
      </c>
      <c r="U616">
        <v>0</v>
      </c>
      <c r="V616">
        <v>9</v>
      </c>
      <c r="W616">
        <v>0</v>
      </c>
      <c r="X616" t="s">
        <v>151</v>
      </c>
      <c r="Y616" t="s">
        <v>152</v>
      </c>
    </row>
    <row r="617" spans="1:25">
      <c r="A617" t="s">
        <v>798</v>
      </c>
      <c r="B617" s="113">
        <v>44539</v>
      </c>
      <c r="C617" t="s">
        <v>159</v>
      </c>
      <c r="D617" t="s">
        <v>209</v>
      </c>
      <c r="E617">
        <v>51</v>
      </c>
      <c r="F617">
        <v>763</v>
      </c>
      <c r="G617" t="s">
        <v>169</v>
      </c>
      <c r="H617">
        <v>119954.7948</v>
      </c>
      <c r="I617">
        <v>119954.7948</v>
      </c>
      <c r="J617" t="s">
        <v>148</v>
      </c>
      <c r="K617" t="s">
        <v>148</v>
      </c>
      <c r="L617">
        <v>0.4</v>
      </c>
      <c r="M617" t="s">
        <v>149</v>
      </c>
      <c r="N617">
        <v>4</v>
      </c>
      <c r="O617">
        <v>1.1000000000000001</v>
      </c>
      <c r="P617">
        <v>2</v>
      </c>
      <c r="Q617">
        <v>1500</v>
      </c>
      <c r="R617">
        <v>0.84716554700000002</v>
      </c>
      <c r="S617" t="s">
        <v>150</v>
      </c>
      <c r="T617">
        <v>13</v>
      </c>
      <c r="U617">
        <v>0</v>
      </c>
      <c r="V617">
        <v>13</v>
      </c>
      <c r="W617">
        <v>0</v>
      </c>
      <c r="X617" t="s">
        <v>149</v>
      </c>
      <c r="Y617" t="s">
        <v>157</v>
      </c>
    </row>
    <row r="618" spans="1:25">
      <c r="A618" t="s">
        <v>799</v>
      </c>
      <c r="B618" s="113">
        <v>44542</v>
      </c>
      <c r="C618" t="s">
        <v>159</v>
      </c>
      <c r="D618" t="s">
        <v>165</v>
      </c>
      <c r="E618">
        <v>42</v>
      </c>
      <c r="F618">
        <v>812</v>
      </c>
      <c r="G618" t="s">
        <v>147</v>
      </c>
      <c r="H618">
        <v>49481.166839999998</v>
      </c>
      <c r="I618">
        <v>49481.166839999998</v>
      </c>
      <c r="J618" t="s">
        <v>148</v>
      </c>
      <c r="K618" t="s">
        <v>148</v>
      </c>
      <c r="L618">
        <v>12.3</v>
      </c>
      <c r="M618" t="s">
        <v>149</v>
      </c>
      <c r="N618">
        <v>1</v>
      </c>
      <c r="O618">
        <v>3.4</v>
      </c>
      <c r="P618">
        <v>4</v>
      </c>
      <c r="Q618">
        <v>1300</v>
      </c>
      <c r="R618">
        <v>0.92099533</v>
      </c>
      <c r="S618" t="s">
        <v>150</v>
      </c>
      <c r="T618">
        <v>23</v>
      </c>
      <c r="U618">
        <v>1</v>
      </c>
      <c r="V618">
        <v>23</v>
      </c>
      <c r="W618">
        <v>0</v>
      </c>
      <c r="X618" t="s">
        <v>151</v>
      </c>
      <c r="Y618" t="s">
        <v>152</v>
      </c>
    </row>
    <row r="619" spans="1:25">
      <c r="A619" t="s">
        <v>800</v>
      </c>
      <c r="B619" s="113">
        <v>44544</v>
      </c>
      <c r="C619" t="s">
        <v>145</v>
      </c>
      <c r="D619" t="s">
        <v>154</v>
      </c>
      <c r="E619">
        <v>38</v>
      </c>
      <c r="F619">
        <v>779</v>
      </c>
      <c r="G619" t="s">
        <v>147</v>
      </c>
      <c r="H619">
        <v>4645528</v>
      </c>
      <c r="I619">
        <v>4645528</v>
      </c>
      <c r="J619" t="s">
        <v>181</v>
      </c>
      <c r="K619" t="s">
        <v>181</v>
      </c>
      <c r="L619">
        <v>4.5999999999999996</v>
      </c>
      <c r="M619" t="s">
        <v>149</v>
      </c>
      <c r="N619">
        <v>3</v>
      </c>
      <c r="O619">
        <v>1.1000000000000001</v>
      </c>
      <c r="P619">
        <v>4</v>
      </c>
      <c r="Q619">
        <v>0</v>
      </c>
      <c r="R619">
        <v>0.97129788699999997</v>
      </c>
      <c r="S619" t="s">
        <v>198</v>
      </c>
      <c r="T619">
        <v>0</v>
      </c>
      <c r="U619">
        <v>0</v>
      </c>
      <c r="V619">
        <v>0</v>
      </c>
      <c r="W619">
        <v>0</v>
      </c>
      <c r="X619" t="s">
        <v>149</v>
      </c>
      <c r="Y619" t="s">
        <v>199</v>
      </c>
    </row>
    <row r="620" spans="1:25">
      <c r="A620" t="s">
        <v>801</v>
      </c>
      <c r="B620" s="113">
        <v>44547</v>
      </c>
      <c r="C620" t="s">
        <v>162</v>
      </c>
      <c r="D620" t="s">
        <v>163</v>
      </c>
      <c r="E620">
        <v>47</v>
      </c>
      <c r="F620">
        <v>700</v>
      </c>
      <c r="G620" t="s">
        <v>147</v>
      </c>
      <c r="H620">
        <v>33714.998939999998</v>
      </c>
      <c r="I620">
        <v>33714.998939999998</v>
      </c>
      <c r="J620" t="s">
        <v>148</v>
      </c>
      <c r="K620" t="s">
        <v>166</v>
      </c>
      <c r="L620">
        <v>3.9</v>
      </c>
      <c r="M620" t="s">
        <v>149</v>
      </c>
      <c r="N620">
        <v>4</v>
      </c>
      <c r="O620">
        <v>4.8</v>
      </c>
      <c r="P620">
        <v>1</v>
      </c>
      <c r="Q620">
        <v>800</v>
      </c>
      <c r="R620">
        <v>0.99678821900000003</v>
      </c>
      <c r="S620" t="s">
        <v>150</v>
      </c>
      <c r="T620">
        <v>21</v>
      </c>
      <c r="U620">
        <v>0</v>
      </c>
      <c r="V620">
        <v>21</v>
      </c>
      <c r="W620">
        <v>0</v>
      </c>
      <c r="X620" t="s">
        <v>149</v>
      </c>
      <c r="Y620" t="s">
        <v>157</v>
      </c>
    </row>
    <row r="621" spans="1:25">
      <c r="A621" t="s">
        <v>802</v>
      </c>
      <c r="B621" s="113">
        <v>44549</v>
      </c>
      <c r="C621" t="s">
        <v>159</v>
      </c>
      <c r="D621" t="s">
        <v>168</v>
      </c>
      <c r="E621">
        <v>43</v>
      </c>
      <c r="F621">
        <v>739</v>
      </c>
      <c r="G621" t="s">
        <v>147</v>
      </c>
      <c r="H621">
        <v>56764.634290000002</v>
      </c>
      <c r="I621">
        <v>56764.634290000002</v>
      </c>
      <c r="J621" t="s">
        <v>148</v>
      </c>
      <c r="K621" t="s">
        <v>148</v>
      </c>
      <c r="L621">
        <v>2.2000000000000002</v>
      </c>
      <c r="M621" t="s">
        <v>149</v>
      </c>
      <c r="N621">
        <v>0</v>
      </c>
      <c r="O621">
        <v>4</v>
      </c>
      <c r="P621">
        <v>3</v>
      </c>
      <c r="Q621">
        <v>1000</v>
      </c>
      <c r="R621">
        <v>0.996815165</v>
      </c>
      <c r="S621" t="s">
        <v>150</v>
      </c>
      <c r="T621">
        <v>17</v>
      </c>
      <c r="U621">
        <v>0</v>
      </c>
      <c r="V621">
        <v>17</v>
      </c>
      <c r="W621">
        <v>0</v>
      </c>
      <c r="X621" t="s">
        <v>149</v>
      </c>
      <c r="Y621" t="s">
        <v>157</v>
      </c>
    </row>
    <row r="622" spans="1:25">
      <c r="A622" t="s">
        <v>803</v>
      </c>
      <c r="B622" s="113">
        <v>44549</v>
      </c>
      <c r="C622" t="s">
        <v>162</v>
      </c>
      <c r="D622" t="s">
        <v>163</v>
      </c>
      <c r="E622">
        <v>58</v>
      </c>
      <c r="F622">
        <v>818</v>
      </c>
      <c r="G622" t="s">
        <v>169</v>
      </c>
      <c r="H622">
        <v>75162.007289999994</v>
      </c>
      <c r="I622">
        <v>75162.007289999994</v>
      </c>
      <c r="J622" t="s">
        <v>170</v>
      </c>
      <c r="K622" t="s">
        <v>170</v>
      </c>
      <c r="L622">
        <v>1.6</v>
      </c>
      <c r="M622" t="s">
        <v>151</v>
      </c>
      <c r="N622">
        <v>3</v>
      </c>
      <c r="O622">
        <v>11.7</v>
      </c>
      <c r="P622">
        <v>4</v>
      </c>
      <c r="Q622">
        <v>1700</v>
      </c>
      <c r="R622">
        <v>0.97137803499999997</v>
      </c>
      <c r="S622" t="s">
        <v>198</v>
      </c>
      <c r="Y622" t="s">
        <v>199</v>
      </c>
    </row>
    <row r="623" spans="1:25">
      <c r="A623" t="s">
        <v>804</v>
      </c>
      <c r="B623" s="113">
        <v>44549</v>
      </c>
      <c r="C623" t="s">
        <v>162</v>
      </c>
      <c r="D623" t="s">
        <v>163</v>
      </c>
      <c r="E623">
        <v>56</v>
      </c>
      <c r="F623">
        <v>573</v>
      </c>
      <c r="G623" t="s">
        <v>147</v>
      </c>
      <c r="H623">
        <v>56713.431420000001</v>
      </c>
      <c r="I623">
        <v>56713.431420000001</v>
      </c>
      <c r="J623" t="s">
        <v>170</v>
      </c>
      <c r="K623" t="s">
        <v>170</v>
      </c>
      <c r="L623">
        <v>0.5</v>
      </c>
      <c r="M623" t="s">
        <v>149</v>
      </c>
      <c r="N623">
        <v>0</v>
      </c>
      <c r="O623">
        <v>1.2</v>
      </c>
      <c r="P623">
        <v>3</v>
      </c>
      <c r="Q623">
        <v>1100</v>
      </c>
      <c r="R623">
        <v>0.921126632</v>
      </c>
      <c r="S623" t="s">
        <v>150</v>
      </c>
      <c r="T623">
        <v>9</v>
      </c>
      <c r="U623">
        <v>0</v>
      </c>
      <c r="V623">
        <v>9</v>
      </c>
      <c r="W623">
        <v>0</v>
      </c>
      <c r="X623" t="s">
        <v>151</v>
      </c>
      <c r="Y623" t="s">
        <v>152</v>
      </c>
    </row>
    <row r="624" spans="1:25">
      <c r="A624" t="s">
        <v>805</v>
      </c>
      <c r="B624" s="113">
        <v>44549</v>
      </c>
      <c r="C624" t="s">
        <v>145</v>
      </c>
      <c r="D624" t="s">
        <v>213</v>
      </c>
      <c r="E624">
        <v>35</v>
      </c>
      <c r="F624">
        <v>674</v>
      </c>
      <c r="G624" t="s">
        <v>169</v>
      </c>
      <c r="H624">
        <v>62046.449200000003</v>
      </c>
      <c r="I624">
        <v>62046.449200000003</v>
      </c>
      <c r="J624" t="s">
        <v>148</v>
      </c>
      <c r="K624" t="s">
        <v>148</v>
      </c>
      <c r="L624">
        <v>7.4</v>
      </c>
      <c r="M624" t="s">
        <v>149</v>
      </c>
      <c r="N624">
        <v>4</v>
      </c>
      <c r="O624">
        <v>19</v>
      </c>
      <c r="P624">
        <v>2</v>
      </c>
      <c r="Q624">
        <v>1100</v>
      </c>
      <c r="R624">
        <v>0.847344651</v>
      </c>
      <c r="S624" t="s">
        <v>150</v>
      </c>
      <c r="T624">
        <v>23</v>
      </c>
      <c r="U624">
        <v>2</v>
      </c>
      <c r="V624">
        <v>23</v>
      </c>
      <c r="W624">
        <v>0</v>
      </c>
      <c r="X624" t="s">
        <v>149</v>
      </c>
      <c r="Y624" t="s">
        <v>157</v>
      </c>
    </row>
    <row r="625" spans="1:25">
      <c r="A625" t="s">
        <v>806</v>
      </c>
      <c r="B625" s="113">
        <v>44549</v>
      </c>
      <c r="C625" t="s">
        <v>145</v>
      </c>
      <c r="D625" t="s">
        <v>154</v>
      </c>
      <c r="E625">
        <v>58</v>
      </c>
      <c r="F625">
        <v>749</v>
      </c>
      <c r="G625" t="s">
        <v>176</v>
      </c>
      <c r="H625">
        <v>40197.547590000002</v>
      </c>
      <c r="J625" t="s">
        <v>148</v>
      </c>
      <c r="K625" t="s">
        <v>166</v>
      </c>
      <c r="L625">
        <v>3.9</v>
      </c>
      <c r="M625" t="s">
        <v>149</v>
      </c>
      <c r="N625">
        <v>2</v>
      </c>
      <c r="O625">
        <v>3.5</v>
      </c>
      <c r="P625">
        <v>2</v>
      </c>
      <c r="Q625">
        <v>1000</v>
      </c>
      <c r="R625">
        <v>0.75191688300000004</v>
      </c>
      <c r="S625" t="s">
        <v>150</v>
      </c>
      <c r="T625">
        <v>9</v>
      </c>
      <c r="U625">
        <v>0</v>
      </c>
      <c r="V625">
        <v>9</v>
      </c>
      <c r="W625">
        <v>0</v>
      </c>
      <c r="X625" t="s">
        <v>151</v>
      </c>
      <c r="Y625" t="s">
        <v>152</v>
      </c>
    </row>
    <row r="626" spans="1:25">
      <c r="A626" t="s">
        <v>807</v>
      </c>
      <c r="B626" s="113">
        <v>44550</v>
      </c>
      <c r="C626" t="s">
        <v>162</v>
      </c>
      <c r="D626" t="s">
        <v>195</v>
      </c>
      <c r="E626">
        <v>43</v>
      </c>
      <c r="F626">
        <v>519</v>
      </c>
      <c r="G626" t="s">
        <v>169</v>
      </c>
      <c r="H626">
        <v>97207.111279999997</v>
      </c>
      <c r="J626" t="s">
        <v>183</v>
      </c>
      <c r="K626" t="s">
        <v>183</v>
      </c>
      <c r="L626">
        <v>0.5</v>
      </c>
      <c r="M626" t="s">
        <v>149</v>
      </c>
      <c r="N626">
        <v>2</v>
      </c>
      <c r="O626">
        <v>0.9</v>
      </c>
      <c r="P626">
        <v>3</v>
      </c>
      <c r="Q626">
        <v>1400</v>
      </c>
      <c r="R626">
        <v>0.63728107300000003</v>
      </c>
      <c r="S626" t="s">
        <v>150</v>
      </c>
      <c r="T626">
        <v>16</v>
      </c>
      <c r="U626">
        <v>1</v>
      </c>
      <c r="V626">
        <v>16</v>
      </c>
      <c r="W626">
        <v>0</v>
      </c>
      <c r="X626" t="s">
        <v>149</v>
      </c>
      <c r="Y626" t="s">
        <v>157</v>
      </c>
    </row>
    <row r="627" spans="1:25">
      <c r="A627" t="s">
        <v>808</v>
      </c>
      <c r="B627" s="113">
        <v>44551</v>
      </c>
      <c r="C627" t="s">
        <v>162</v>
      </c>
      <c r="D627" t="s">
        <v>193</v>
      </c>
      <c r="E627">
        <v>23</v>
      </c>
      <c r="F627">
        <v>633</v>
      </c>
      <c r="G627" t="s">
        <v>155</v>
      </c>
      <c r="H627">
        <v>57250.002999999997</v>
      </c>
      <c r="I627">
        <v>57250.002999999997</v>
      </c>
      <c r="J627" t="s">
        <v>170</v>
      </c>
      <c r="K627" t="s">
        <v>170</v>
      </c>
      <c r="L627">
        <v>1.4</v>
      </c>
      <c r="M627" t="s">
        <v>149</v>
      </c>
      <c r="N627">
        <v>5</v>
      </c>
      <c r="O627">
        <v>8.6</v>
      </c>
      <c r="P627">
        <v>3</v>
      </c>
      <c r="Q627">
        <v>1700</v>
      </c>
      <c r="R627">
        <v>0.50636564100000003</v>
      </c>
      <c r="S627" t="s">
        <v>150</v>
      </c>
      <c r="T627">
        <v>21</v>
      </c>
      <c r="U627">
        <v>0</v>
      </c>
      <c r="V627">
        <v>21</v>
      </c>
      <c r="W627">
        <v>0</v>
      </c>
      <c r="X627" t="s">
        <v>151</v>
      </c>
      <c r="Y627" t="s">
        <v>152</v>
      </c>
    </row>
    <row r="628" spans="1:25">
      <c r="A628" t="s">
        <v>809</v>
      </c>
      <c r="B628" s="113">
        <v>44551</v>
      </c>
      <c r="C628" t="s">
        <v>162</v>
      </c>
      <c r="D628" t="s">
        <v>193</v>
      </c>
      <c r="E628">
        <v>56</v>
      </c>
      <c r="F628">
        <v>656</v>
      </c>
      <c r="G628" t="s">
        <v>147</v>
      </c>
      <c r="H628">
        <v>38344.331480000001</v>
      </c>
      <c r="J628" t="s">
        <v>249</v>
      </c>
      <c r="K628" t="s">
        <v>166</v>
      </c>
      <c r="L628">
        <v>0.2</v>
      </c>
      <c r="M628" t="s">
        <v>149</v>
      </c>
      <c r="N628">
        <v>1</v>
      </c>
      <c r="O628">
        <v>4.5</v>
      </c>
      <c r="P628">
        <v>3</v>
      </c>
      <c r="Q628">
        <v>1600</v>
      </c>
      <c r="R628">
        <v>0.36251487999999998</v>
      </c>
      <c r="S628" t="s">
        <v>150</v>
      </c>
      <c r="T628">
        <v>16</v>
      </c>
      <c r="U628">
        <v>1</v>
      </c>
      <c r="V628">
        <v>16</v>
      </c>
      <c r="W628">
        <v>0</v>
      </c>
      <c r="X628" t="s">
        <v>151</v>
      </c>
      <c r="Y628" t="s">
        <v>152</v>
      </c>
    </row>
    <row r="629" spans="1:25">
      <c r="A629" t="s">
        <v>810</v>
      </c>
      <c r="B629" s="113">
        <v>44552</v>
      </c>
      <c r="C629" t="s">
        <v>159</v>
      </c>
      <c r="D629" t="s">
        <v>160</v>
      </c>
      <c r="E629">
        <v>54</v>
      </c>
      <c r="F629">
        <v>699</v>
      </c>
      <c r="G629" t="s">
        <v>169</v>
      </c>
      <c r="H629">
        <v>87604.508539999995</v>
      </c>
      <c r="I629">
        <v>87604.508539999995</v>
      </c>
      <c r="J629" t="s">
        <v>156</v>
      </c>
      <c r="K629" t="s">
        <v>156</v>
      </c>
      <c r="L629">
        <v>0.2</v>
      </c>
      <c r="M629" t="s">
        <v>149</v>
      </c>
      <c r="N629">
        <v>6</v>
      </c>
      <c r="O629">
        <v>1.3</v>
      </c>
      <c r="P629">
        <v>2</v>
      </c>
      <c r="Q629">
        <v>900</v>
      </c>
      <c r="R629">
        <v>0.20940351900000001</v>
      </c>
      <c r="S629" t="s">
        <v>150</v>
      </c>
      <c r="T629">
        <v>13</v>
      </c>
      <c r="U629">
        <v>0</v>
      </c>
      <c r="V629">
        <v>13</v>
      </c>
      <c r="W629">
        <v>0</v>
      </c>
      <c r="X629" t="s">
        <v>149</v>
      </c>
      <c r="Y629" t="s">
        <v>157</v>
      </c>
    </row>
    <row r="630" spans="1:25">
      <c r="A630" t="s">
        <v>811</v>
      </c>
      <c r="B630" s="113">
        <v>44552</v>
      </c>
      <c r="C630" t="s">
        <v>162</v>
      </c>
      <c r="D630" t="s">
        <v>187</v>
      </c>
      <c r="E630">
        <v>31</v>
      </c>
      <c r="F630">
        <v>661</v>
      </c>
      <c r="G630" t="s">
        <v>169</v>
      </c>
      <c r="H630">
        <v>58880.647270000001</v>
      </c>
      <c r="I630">
        <v>58880.647270000001</v>
      </c>
      <c r="J630" t="s">
        <v>148</v>
      </c>
      <c r="K630" t="s">
        <v>148</v>
      </c>
      <c r="L630">
        <v>2.2000000000000002</v>
      </c>
      <c r="M630" t="s">
        <v>149</v>
      </c>
      <c r="N630">
        <v>1</v>
      </c>
      <c r="O630">
        <v>1</v>
      </c>
      <c r="P630">
        <v>3</v>
      </c>
      <c r="Q630">
        <v>800</v>
      </c>
      <c r="R630">
        <v>5.0942855000000002E-2</v>
      </c>
      <c r="S630" t="s">
        <v>150</v>
      </c>
      <c r="T630">
        <v>22</v>
      </c>
      <c r="U630">
        <v>1</v>
      </c>
      <c r="V630">
        <v>22</v>
      </c>
      <c r="W630">
        <v>0</v>
      </c>
      <c r="X630" t="s">
        <v>149</v>
      </c>
      <c r="Y630" t="s">
        <v>157</v>
      </c>
    </row>
    <row r="631" spans="1:25">
      <c r="A631" t="s">
        <v>812</v>
      </c>
      <c r="B631" s="113">
        <v>44552</v>
      </c>
      <c r="C631" t="s">
        <v>145</v>
      </c>
      <c r="D631" t="s">
        <v>280</v>
      </c>
      <c r="E631">
        <v>32</v>
      </c>
      <c r="F631">
        <v>469</v>
      </c>
      <c r="G631" t="s">
        <v>169</v>
      </c>
      <c r="H631">
        <v>43809.894950000002</v>
      </c>
      <c r="I631">
        <v>43809.894950000002</v>
      </c>
      <c r="J631" t="s">
        <v>170</v>
      </c>
      <c r="K631" t="s">
        <v>170</v>
      </c>
      <c r="L631">
        <v>5.7</v>
      </c>
      <c r="M631" t="s">
        <v>149</v>
      </c>
      <c r="N631">
        <v>3</v>
      </c>
      <c r="O631">
        <v>23.7</v>
      </c>
      <c r="P631">
        <v>3</v>
      </c>
      <c r="Q631">
        <v>1300</v>
      </c>
      <c r="R631">
        <v>0.10881916699999999</v>
      </c>
      <c r="S631" t="s">
        <v>150</v>
      </c>
      <c r="T631">
        <v>17</v>
      </c>
      <c r="U631">
        <v>0</v>
      </c>
      <c r="V631">
        <v>17</v>
      </c>
      <c r="W631">
        <v>0</v>
      </c>
      <c r="X631" t="s">
        <v>149</v>
      </c>
      <c r="Y631" t="s">
        <v>157</v>
      </c>
    </row>
    <row r="632" spans="1:25">
      <c r="A632" t="s">
        <v>813</v>
      </c>
      <c r="B632" s="113">
        <v>44553</v>
      </c>
      <c r="C632" t="s">
        <v>145</v>
      </c>
      <c r="D632" t="s">
        <v>172</v>
      </c>
      <c r="E632">
        <v>46</v>
      </c>
      <c r="F632">
        <v>825</v>
      </c>
      <c r="G632" t="s">
        <v>155</v>
      </c>
      <c r="H632">
        <v>34282.08077</v>
      </c>
      <c r="I632">
        <v>34282.08077</v>
      </c>
      <c r="J632" t="s">
        <v>148</v>
      </c>
      <c r="K632" t="s">
        <v>148</v>
      </c>
      <c r="L632">
        <v>10.3</v>
      </c>
      <c r="M632" t="s">
        <v>149</v>
      </c>
      <c r="N632">
        <v>4</v>
      </c>
      <c r="O632">
        <v>2.6</v>
      </c>
      <c r="P632">
        <v>1</v>
      </c>
      <c r="Q632">
        <v>1250</v>
      </c>
      <c r="R632">
        <v>0.26580135599999999</v>
      </c>
      <c r="S632" t="s">
        <v>150</v>
      </c>
      <c r="T632">
        <v>12</v>
      </c>
      <c r="U632">
        <v>2</v>
      </c>
      <c r="V632">
        <v>12</v>
      </c>
      <c r="W632">
        <v>0</v>
      </c>
      <c r="X632" t="s">
        <v>151</v>
      </c>
      <c r="Y632" t="s">
        <v>152</v>
      </c>
    </row>
    <row r="633" spans="1:25">
      <c r="A633" t="s">
        <v>814</v>
      </c>
      <c r="B633" s="113">
        <v>44553</v>
      </c>
      <c r="C633" t="s">
        <v>159</v>
      </c>
      <c r="D633" t="s">
        <v>197</v>
      </c>
      <c r="E633">
        <v>27</v>
      </c>
      <c r="F633">
        <v>645</v>
      </c>
      <c r="G633" t="s">
        <v>176</v>
      </c>
      <c r="H633">
        <v>25626.769250000001</v>
      </c>
      <c r="J633" t="s">
        <v>148</v>
      </c>
      <c r="K633" t="s">
        <v>148</v>
      </c>
      <c r="L633">
        <v>0.1</v>
      </c>
      <c r="M633" t="s">
        <v>149</v>
      </c>
      <c r="N633">
        <v>3</v>
      </c>
      <c r="O633">
        <v>2.1</v>
      </c>
      <c r="P633">
        <v>4</v>
      </c>
      <c r="Q633">
        <v>1200</v>
      </c>
      <c r="R633">
        <v>0.415993534</v>
      </c>
      <c r="S633" t="s">
        <v>150</v>
      </c>
      <c r="T633">
        <v>22</v>
      </c>
      <c r="U633">
        <v>0</v>
      </c>
      <c r="V633">
        <v>22</v>
      </c>
      <c r="W633">
        <v>0</v>
      </c>
      <c r="X633" t="s">
        <v>149</v>
      </c>
      <c r="Y633" t="s">
        <v>157</v>
      </c>
    </row>
    <row r="634" spans="1:25">
      <c r="A634" t="s">
        <v>815</v>
      </c>
      <c r="B634" s="113">
        <v>44554</v>
      </c>
      <c r="C634" t="s">
        <v>159</v>
      </c>
      <c r="D634" t="s">
        <v>209</v>
      </c>
      <c r="E634">
        <v>34</v>
      </c>
      <c r="F634">
        <v>531</v>
      </c>
      <c r="G634" t="s">
        <v>169</v>
      </c>
      <c r="H634">
        <v>39099.21069</v>
      </c>
      <c r="J634" t="s">
        <v>156</v>
      </c>
      <c r="K634" t="s">
        <v>156</v>
      </c>
      <c r="L634">
        <v>0.1</v>
      </c>
      <c r="M634" t="s">
        <v>149</v>
      </c>
      <c r="N634">
        <v>3</v>
      </c>
      <c r="O634">
        <v>1.3</v>
      </c>
      <c r="P634">
        <v>2</v>
      </c>
      <c r="Q634">
        <v>1400</v>
      </c>
      <c r="R634">
        <v>0.55555897700000001</v>
      </c>
      <c r="S634" t="s">
        <v>150</v>
      </c>
      <c r="T634">
        <v>19</v>
      </c>
      <c r="U634">
        <v>1</v>
      </c>
      <c r="V634">
        <v>19</v>
      </c>
      <c r="W634">
        <v>0</v>
      </c>
      <c r="X634" t="s">
        <v>149</v>
      </c>
      <c r="Y634" t="s">
        <v>157</v>
      </c>
    </row>
    <row r="635" spans="1:25">
      <c r="A635" t="s">
        <v>816</v>
      </c>
      <c r="B635" s="113">
        <v>44558</v>
      </c>
      <c r="C635" t="s">
        <v>159</v>
      </c>
      <c r="D635" t="s">
        <v>209</v>
      </c>
      <c r="E635">
        <v>25</v>
      </c>
      <c r="F635">
        <v>696</v>
      </c>
      <c r="G635" t="s">
        <v>147</v>
      </c>
      <c r="H635">
        <v>90006.784140000003</v>
      </c>
      <c r="I635">
        <v>90006.784140000003</v>
      </c>
      <c r="J635" t="s">
        <v>148</v>
      </c>
      <c r="K635" t="s">
        <v>148</v>
      </c>
      <c r="L635">
        <v>1.7</v>
      </c>
      <c r="M635" t="s">
        <v>149</v>
      </c>
      <c r="N635">
        <v>2</v>
      </c>
      <c r="O635">
        <v>1.1000000000000001</v>
      </c>
      <c r="P635">
        <v>4</v>
      </c>
      <c r="Q635">
        <v>850</v>
      </c>
      <c r="R635">
        <v>0.68093242499999995</v>
      </c>
      <c r="S635" t="s">
        <v>150</v>
      </c>
      <c r="T635">
        <v>17</v>
      </c>
      <c r="U635">
        <v>0</v>
      </c>
      <c r="V635">
        <v>17</v>
      </c>
      <c r="W635">
        <v>0</v>
      </c>
      <c r="X635" t="s">
        <v>149</v>
      </c>
      <c r="Y635" t="s">
        <v>157</v>
      </c>
    </row>
    <row r="636" spans="1:25">
      <c r="A636" t="s">
        <v>817</v>
      </c>
      <c r="B636" s="113">
        <v>44558</v>
      </c>
      <c r="C636" t="s">
        <v>159</v>
      </c>
      <c r="D636" t="s">
        <v>209</v>
      </c>
      <c r="E636">
        <v>37</v>
      </c>
      <c r="F636">
        <v>678</v>
      </c>
      <c r="G636" t="s">
        <v>169</v>
      </c>
      <c r="H636">
        <v>73103.033339999994</v>
      </c>
      <c r="I636">
        <v>73103.033339999994</v>
      </c>
      <c r="J636" t="s">
        <v>148</v>
      </c>
      <c r="K636" t="s">
        <v>148</v>
      </c>
      <c r="L636">
        <v>12.3</v>
      </c>
      <c r="M636" t="s">
        <v>149</v>
      </c>
      <c r="N636">
        <v>0</v>
      </c>
      <c r="O636">
        <v>4.0999999999999996</v>
      </c>
      <c r="P636">
        <v>2</v>
      </c>
      <c r="Q636">
        <v>900</v>
      </c>
      <c r="R636">
        <v>0.78891115999999994</v>
      </c>
      <c r="S636" t="s">
        <v>150</v>
      </c>
      <c r="T636">
        <v>13</v>
      </c>
      <c r="U636">
        <v>0</v>
      </c>
      <c r="V636">
        <v>13</v>
      </c>
      <c r="W636">
        <v>0</v>
      </c>
      <c r="X636" t="s">
        <v>149</v>
      </c>
      <c r="Y636" t="s">
        <v>157</v>
      </c>
    </row>
    <row r="637" spans="1:25">
      <c r="A637" t="s">
        <v>818</v>
      </c>
      <c r="B637" s="113">
        <v>44559</v>
      </c>
      <c r="C637" t="s">
        <v>162</v>
      </c>
      <c r="D637" t="s">
        <v>195</v>
      </c>
      <c r="E637">
        <v>49</v>
      </c>
      <c r="F637">
        <v>709</v>
      </c>
      <c r="G637" t="s">
        <v>169</v>
      </c>
      <c r="H637">
        <v>72411.816930000001</v>
      </c>
      <c r="J637" t="s">
        <v>156</v>
      </c>
      <c r="K637" t="s">
        <v>156</v>
      </c>
      <c r="L637">
        <v>13.7</v>
      </c>
      <c r="M637" t="s">
        <v>149</v>
      </c>
      <c r="N637">
        <v>5</v>
      </c>
      <c r="O637">
        <v>3.8</v>
      </c>
      <c r="P637">
        <v>0</v>
      </c>
      <c r="Q637">
        <v>1300</v>
      </c>
      <c r="R637">
        <v>0.87673681699999995</v>
      </c>
      <c r="S637" t="s">
        <v>150</v>
      </c>
      <c r="T637">
        <v>20</v>
      </c>
      <c r="U637">
        <v>1</v>
      </c>
      <c r="V637">
        <v>20</v>
      </c>
      <c r="W637">
        <v>0</v>
      </c>
      <c r="X637" t="s">
        <v>149</v>
      </c>
      <c r="Y637" t="s">
        <v>157</v>
      </c>
    </row>
    <row r="638" spans="1:25">
      <c r="A638" t="s">
        <v>819</v>
      </c>
      <c r="B638" s="113">
        <v>44559</v>
      </c>
      <c r="C638" t="s">
        <v>159</v>
      </c>
      <c r="D638" t="s">
        <v>165</v>
      </c>
      <c r="E638">
        <v>36</v>
      </c>
      <c r="F638">
        <v>737</v>
      </c>
      <c r="G638" t="s">
        <v>147</v>
      </c>
      <c r="H638">
        <v>64004.61866</v>
      </c>
      <c r="I638">
        <v>64004.61866</v>
      </c>
      <c r="J638" t="s">
        <v>148</v>
      </c>
      <c r="K638" t="s">
        <v>166</v>
      </c>
      <c r="L638">
        <v>5.4</v>
      </c>
      <c r="M638" t="s">
        <v>149</v>
      </c>
      <c r="N638">
        <v>1</v>
      </c>
      <c r="O638">
        <v>4.7</v>
      </c>
      <c r="P638">
        <v>3</v>
      </c>
      <c r="Q638">
        <v>1450</v>
      </c>
      <c r="R638">
        <v>0.94216585200000003</v>
      </c>
      <c r="S638" t="s">
        <v>150</v>
      </c>
      <c r="T638">
        <v>13</v>
      </c>
      <c r="U638">
        <v>1</v>
      </c>
      <c r="V638">
        <v>13</v>
      </c>
      <c r="W638">
        <v>0</v>
      </c>
      <c r="X638" t="s">
        <v>149</v>
      </c>
      <c r="Y638" t="s">
        <v>157</v>
      </c>
    </row>
    <row r="639" spans="1:25">
      <c r="A639" t="s">
        <v>820</v>
      </c>
      <c r="B639" s="113">
        <v>44560</v>
      </c>
      <c r="C639" t="s">
        <v>159</v>
      </c>
      <c r="D639" t="s">
        <v>209</v>
      </c>
      <c r="E639">
        <v>44</v>
      </c>
      <c r="F639">
        <v>740</v>
      </c>
      <c r="G639" t="s">
        <v>169</v>
      </c>
      <c r="H639">
        <v>31834.486720000001</v>
      </c>
      <c r="I639">
        <v>31834.486720000001</v>
      </c>
      <c r="J639" t="s">
        <v>156</v>
      </c>
      <c r="K639" t="s">
        <v>156</v>
      </c>
      <c r="L639">
        <v>0.6</v>
      </c>
      <c r="M639" t="s">
        <v>149</v>
      </c>
      <c r="N639">
        <v>6</v>
      </c>
      <c r="O639">
        <v>2.2999999999999998</v>
      </c>
      <c r="P639">
        <v>2</v>
      </c>
      <c r="Q639">
        <v>800</v>
      </c>
      <c r="R639">
        <v>0.98352685299999998</v>
      </c>
      <c r="S639" t="s">
        <v>150</v>
      </c>
      <c r="T639">
        <v>13</v>
      </c>
      <c r="U639">
        <v>0</v>
      </c>
      <c r="V639">
        <v>13</v>
      </c>
      <c r="W639">
        <v>0</v>
      </c>
      <c r="X639" t="s">
        <v>151</v>
      </c>
      <c r="Y639" t="s">
        <v>152</v>
      </c>
    </row>
    <row r="640" spans="1:25">
      <c r="A640" t="s">
        <v>821</v>
      </c>
      <c r="B640" s="113">
        <v>44561</v>
      </c>
      <c r="C640" t="s">
        <v>145</v>
      </c>
      <c r="D640" t="s">
        <v>146</v>
      </c>
      <c r="E640">
        <v>31</v>
      </c>
      <c r="F640">
        <v>620</v>
      </c>
      <c r="G640" t="s">
        <v>147</v>
      </c>
      <c r="H640">
        <v>22334.273260000002</v>
      </c>
      <c r="J640" t="s">
        <v>183</v>
      </c>
      <c r="K640" t="s">
        <v>183</v>
      </c>
      <c r="L640">
        <v>5.2</v>
      </c>
      <c r="M640" t="s">
        <v>149</v>
      </c>
      <c r="N640">
        <v>3</v>
      </c>
      <c r="O640">
        <v>0.5</v>
      </c>
      <c r="P640">
        <v>4</v>
      </c>
      <c r="Q640">
        <v>1550</v>
      </c>
      <c r="R640">
        <v>0.999763234</v>
      </c>
      <c r="S640" t="s">
        <v>150</v>
      </c>
      <c r="T640">
        <v>21</v>
      </c>
      <c r="U640">
        <v>2</v>
      </c>
      <c r="V640">
        <v>21</v>
      </c>
      <c r="W640">
        <v>0</v>
      </c>
      <c r="X640" t="s">
        <v>151</v>
      </c>
      <c r="Y640" t="s">
        <v>152</v>
      </c>
    </row>
    <row r="641" spans="1:25">
      <c r="A641" t="s">
        <v>822</v>
      </c>
      <c r="B641" s="113">
        <v>44562</v>
      </c>
      <c r="C641" t="s">
        <v>159</v>
      </c>
      <c r="D641" t="s">
        <v>160</v>
      </c>
      <c r="E641">
        <v>42</v>
      </c>
      <c r="F641">
        <v>630</v>
      </c>
      <c r="G641" t="s">
        <v>176</v>
      </c>
      <c r="H641">
        <v>27748.83021</v>
      </c>
      <c r="I641">
        <v>27748.83021</v>
      </c>
      <c r="J641" t="s">
        <v>148</v>
      </c>
      <c r="K641" t="s">
        <v>148</v>
      </c>
      <c r="L641">
        <v>0.2</v>
      </c>
      <c r="M641" t="s">
        <v>149</v>
      </c>
      <c r="N641">
        <v>2</v>
      </c>
      <c r="O641">
        <v>1.9</v>
      </c>
      <c r="P641">
        <v>2</v>
      </c>
      <c r="Q641">
        <v>800</v>
      </c>
      <c r="R641">
        <v>0.99046022899999997</v>
      </c>
      <c r="S641" t="s">
        <v>150</v>
      </c>
      <c r="T641">
        <v>20</v>
      </c>
      <c r="U641">
        <v>0</v>
      </c>
      <c r="V641">
        <v>20</v>
      </c>
      <c r="W641">
        <v>0</v>
      </c>
      <c r="X641" t="s">
        <v>151</v>
      </c>
      <c r="Y641" t="s">
        <v>152</v>
      </c>
    </row>
    <row r="642" spans="1:25">
      <c r="A642" t="s">
        <v>823</v>
      </c>
      <c r="B642" s="113">
        <v>44565</v>
      </c>
      <c r="C642" t="s">
        <v>162</v>
      </c>
      <c r="D642" t="s">
        <v>190</v>
      </c>
      <c r="E642">
        <v>57</v>
      </c>
      <c r="F642">
        <v>750</v>
      </c>
      <c r="G642" t="s">
        <v>155</v>
      </c>
      <c r="H642">
        <v>11623.01404</v>
      </c>
      <c r="I642">
        <v>11623.01404</v>
      </c>
      <c r="J642" t="s">
        <v>148</v>
      </c>
      <c r="K642" t="s">
        <v>148</v>
      </c>
      <c r="L642">
        <v>2</v>
      </c>
      <c r="M642" t="s">
        <v>149</v>
      </c>
      <c r="N642">
        <v>2</v>
      </c>
      <c r="O642">
        <v>9.4</v>
      </c>
      <c r="P642">
        <v>3</v>
      </c>
      <c r="Q642">
        <v>800</v>
      </c>
      <c r="R642">
        <v>0.95585549000000003</v>
      </c>
      <c r="S642" t="s">
        <v>150</v>
      </c>
      <c r="T642">
        <v>8</v>
      </c>
      <c r="U642">
        <v>0</v>
      </c>
      <c r="V642">
        <v>8</v>
      </c>
      <c r="W642">
        <v>0</v>
      </c>
      <c r="X642" t="s">
        <v>151</v>
      </c>
      <c r="Y642" t="s">
        <v>152</v>
      </c>
    </row>
    <row r="643" spans="1:25">
      <c r="A643" t="s">
        <v>824</v>
      </c>
      <c r="B643" s="113">
        <v>44569</v>
      </c>
      <c r="C643" t="s">
        <v>145</v>
      </c>
      <c r="D643" t="s">
        <v>146</v>
      </c>
      <c r="E643">
        <v>42</v>
      </c>
      <c r="F643">
        <v>652</v>
      </c>
      <c r="G643" t="s">
        <v>176</v>
      </c>
      <c r="H643">
        <v>71063.625650000002</v>
      </c>
      <c r="I643">
        <v>71063.625650000002</v>
      </c>
      <c r="J643" t="s">
        <v>170</v>
      </c>
      <c r="K643" t="s">
        <v>170</v>
      </c>
      <c r="L643">
        <v>4.2</v>
      </c>
      <c r="M643" t="s">
        <v>149</v>
      </c>
      <c r="N643">
        <v>2</v>
      </c>
      <c r="O643">
        <v>2.8</v>
      </c>
      <c r="P643">
        <v>4</v>
      </c>
      <c r="Q643">
        <v>950</v>
      </c>
      <c r="R643">
        <v>0.89683300700000002</v>
      </c>
      <c r="S643" t="s">
        <v>150</v>
      </c>
      <c r="T643">
        <v>14</v>
      </c>
      <c r="U643">
        <v>0</v>
      </c>
      <c r="V643">
        <v>14</v>
      </c>
      <c r="W643">
        <v>0</v>
      </c>
      <c r="X643" t="s">
        <v>149</v>
      </c>
      <c r="Y643" t="s">
        <v>157</v>
      </c>
    </row>
    <row r="644" spans="1:25">
      <c r="A644" t="s">
        <v>825</v>
      </c>
      <c r="B644" s="113">
        <v>44571</v>
      </c>
      <c r="C644" t="s">
        <v>162</v>
      </c>
      <c r="D644" t="s">
        <v>193</v>
      </c>
      <c r="E644">
        <v>37</v>
      </c>
      <c r="F644">
        <v>663</v>
      </c>
      <c r="G644" t="s">
        <v>176</v>
      </c>
      <c r="H644">
        <v>29307.291689999998</v>
      </c>
      <c r="I644">
        <v>29307.291689999998</v>
      </c>
      <c r="J644" t="s">
        <v>148</v>
      </c>
      <c r="K644" t="s">
        <v>148</v>
      </c>
      <c r="L644">
        <v>2.9</v>
      </c>
      <c r="M644" t="s">
        <v>149</v>
      </c>
      <c r="N644">
        <v>2</v>
      </c>
      <c r="O644">
        <v>2.2000000000000002</v>
      </c>
      <c r="P644">
        <v>3</v>
      </c>
      <c r="Q644">
        <v>950</v>
      </c>
      <c r="R644">
        <v>0.81490053699999998</v>
      </c>
      <c r="S644" t="s">
        <v>150</v>
      </c>
      <c r="T644">
        <v>17</v>
      </c>
      <c r="U644">
        <v>0</v>
      </c>
      <c r="V644">
        <v>17</v>
      </c>
      <c r="W644">
        <v>0</v>
      </c>
      <c r="X644" t="s">
        <v>149</v>
      </c>
      <c r="Y644" t="s">
        <v>157</v>
      </c>
    </row>
    <row r="645" spans="1:25">
      <c r="A645" t="s">
        <v>826</v>
      </c>
      <c r="B645" s="113">
        <v>44572</v>
      </c>
      <c r="C645" t="s">
        <v>159</v>
      </c>
      <c r="D645" t="s">
        <v>197</v>
      </c>
      <c r="E645">
        <v>32</v>
      </c>
      <c r="F645">
        <v>537</v>
      </c>
      <c r="G645" t="s">
        <v>169</v>
      </c>
      <c r="H645">
        <v>25265.610250000002</v>
      </c>
      <c r="I645">
        <v>25265.610250000002</v>
      </c>
      <c r="J645" t="s">
        <v>148</v>
      </c>
      <c r="K645" t="s">
        <v>148</v>
      </c>
      <c r="L645">
        <v>15.7</v>
      </c>
      <c r="M645" t="s">
        <v>149</v>
      </c>
      <c r="N645">
        <v>2</v>
      </c>
      <c r="O645">
        <v>5.2</v>
      </c>
      <c r="P645">
        <v>3</v>
      </c>
      <c r="Q645">
        <v>900</v>
      </c>
      <c r="R645">
        <v>0.71215108000000005</v>
      </c>
      <c r="S645" t="s">
        <v>150</v>
      </c>
      <c r="T645">
        <v>23</v>
      </c>
      <c r="U645">
        <v>0</v>
      </c>
      <c r="V645">
        <v>23</v>
      </c>
      <c r="W645">
        <v>0</v>
      </c>
      <c r="X645" t="s">
        <v>149</v>
      </c>
      <c r="Y645" t="s">
        <v>157</v>
      </c>
    </row>
    <row r="646" spans="1:25">
      <c r="A646" t="s">
        <v>827</v>
      </c>
      <c r="B646" s="113">
        <v>44575</v>
      </c>
      <c r="C646" t="s">
        <v>162</v>
      </c>
      <c r="D646" t="s">
        <v>193</v>
      </c>
      <c r="E646">
        <v>26</v>
      </c>
      <c r="F646">
        <v>613</v>
      </c>
      <c r="G646" t="s">
        <v>147</v>
      </c>
      <c r="H646">
        <v>18851.499899999999</v>
      </c>
      <c r="I646">
        <v>18851.499899999999</v>
      </c>
      <c r="J646" t="s">
        <v>148</v>
      </c>
      <c r="K646" t="s">
        <v>148</v>
      </c>
      <c r="L646">
        <v>5.9</v>
      </c>
      <c r="M646" t="s">
        <v>151</v>
      </c>
      <c r="N646">
        <v>1</v>
      </c>
      <c r="O646">
        <v>7</v>
      </c>
      <c r="P646">
        <v>4</v>
      </c>
      <c r="Q646">
        <v>1100</v>
      </c>
      <c r="R646">
        <v>0.59120941500000002</v>
      </c>
      <c r="S646" t="s">
        <v>198</v>
      </c>
      <c r="Y646" t="s">
        <v>199</v>
      </c>
    </row>
    <row r="647" spans="1:25">
      <c r="A647" t="s">
        <v>828</v>
      </c>
      <c r="B647" s="113">
        <v>44578</v>
      </c>
      <c r="C647" t="s">
        <v>162</v>
      </c>
      <c r="D647" t="s">
        <v>187</v>
      </c>
      <c r="E647">
        <v>42</v>
      </c>
      <c r="F647">
        <v>795</v>
      </c>
      <c r="G647" t="s">
        <v>176</v>
      </c>
      <c r="H647">
        <v>42652.688990000002</v>
      </c>
      <c r="I647">
        <v>42652.688990000002</v>
      </c>
      <c r="J647" t="s">
        <v>156</v>
      </c>
      <c r="K647" t="s">
        <v>156</v>
      </c>
      <c r="L647">
        <v>2.2000000000000002</v>
      </c>
      <c r="M647" t="s">
        <v>149</v>
      </c>
      <c r="N647">
        <v>2</v>
      </c>
      <c r="O647">
        <v>0.4</v>
      </c>
      <c r="P647">
        <v>2</v>
      </c>
      <c r="Q647">
        <v>800</v>
      </c>
      <c r="R647">
        <v>0.45516504899999999</v>
      </c>
      <c r="S647" t="s">
        <v>150</v>
      </c>
      <c r="T647">
        <v>20</v>
      </c>
      <c r="U647">
        <v>0</v>
      </c>
      <c r="V647">
        <v>20</v>
      </c>
      <c r="W647">
        <v>0</v>
      </c>
      <c r="X647" t="s">
        <v>149</v>
      </c>
      <c r="Y647" t="s">
        <v>157</v>
      </c>
    </row>
    <row r="648" spans="1:25">
      <c r="A648" t="s">
        <v>829</v>
      </c>
      <c r="B648" s="113">
        <v>44580</v>
      </c>
      <c r="C648" t="s">
        <v>159</v>
      </c>
      <c r="D648" t="s">
        <v>165</v>
      </c>
      <c r="E648">
        <v>57</v>
      </c>
      <c r="F648">
        <v>722</v>
      </c>
      <c r="G648" t="s">
        <v>147</v>
      </c>
      <c r="H648">
        <v>46008.210630000001</v>
      </c>
      <c r="I648">
        <v>46008.210630000001</v>
      </c>
      <c r="J648" t="s">
        <v>148</v>
      </c>
      <c r="K648" t="s">
        <v>148</v>
      </c>
      <c r="L648">
        <v>4.9000000000000004</v>
      </c>
      <c r="M648" t="s">
        <v>151</v>
      </c>
      <c r="N648">
        <v>2</v>
      </c>
      <c r="O648">
        <v>12.3</v>
      </c>
      <c r="P648">
        <v>3</v>
      </c>
      <c r="Q648">
        <v>2350</v>
      </c>
      <c r="R648">
        <v>0.30749329399999997</v>
      </c>
      <c r="S648" t="s">
        <v>198</v>
      </c>
      <c r="Y648" t="s">
        <v>199</v>
      </c>
    </row>
    <row r="649" spans="1:25">
      <c r="A649" t="s">
        <v>830</v>
      </c>
      <c r="B649" s="113">
        <v>44581</v>
      </c>
      <c r="C649" t="s">
        <v>145</v>
      </c>
      <c r="D649" t="s">
        <v>213</v>
      </c>
      <c r="E649">
        <v>59</v>
      </c>
      <c r="F649">
        <v>705</v>
      </c>
      <c r="G649" t="s">
        <v>155</v>
      </c>
      <c r="H649">
        <v>41294.575490000003</v>
      </c>
      <c r="I649">
        <v>41294.575490000003</v>
      </c>
      <c r="J649" t="s">
        <v>148</v>
      </c>
      <c r="K649" t="s">
        <v>148</v>
      </c>
      <c r="L649">
        <v>2.1</v>
      </c>
      <c r="M649" t="s">
        <v>149</v>
      </c>
      <c r="N649">
        <v>1</v>
      </c>
      <c r="O649">
        <v>0.4</v>
      </c>
      <c r="P649">
        <v>3</v>
      </c>
      <c r="Q649">
        <v>1550</v>
      </c>
      <c r="R649">
        <v>0.15196649100000001</v>
      </c>
      <c r="S649" t="s">
        <v>150</v>
      </c>
      <c r="T649">
        <v>21</v>
      </c>
      <c r="U649">
        <v>0</v>
      </c>
      <c r="V649">
        <v>21</v>
      </c>
      <c r="W649">
        <v>0</v>
      </c>
      <c r="X649" t="s">
        <v>149</v>
      </c>
      <c r="Y649" t="s">
        <v>157</v>
      </c>
    </row>
    <row r="650" spans="1:25">
      <c r="A650" t="s">
        <v>831</v>
      </c>
      <c r="B650" s="113">
        <v>44581</v>
      </c>
      <c r="C650" t="s">
        <v>162</v>
      </c>
      <c r="D650" t="s">
        <v>195</v>
      </c>
      <c r="E650">
        <v>49</v>
      </c>
      <c r="F650">
        <v>687</v>
      </c>
      <c r="G650" t="s">
        <v>155</v>
      </c>
      <c r="H650">
        <v>49432.501799999998</v>
      </c>
      <c r="I650">
        <v>49432.501799999998</v>
      </c>
      <c r="J650" t="s">
        <v>148</v>
      </c>
      <c r="K650" t="s">
        <v>148</v>
      </c>
      <c r="L650">
        <v>3.5</v>
      </c>
      <c r="M650" t="s">
        <v>149</v>
      </c>
      <c r="N650">
        <v>5</v>
      </c>
      <c r="O650">
        <v>0.7</v>
      </c>
      <c r="P650">
        <v>3</v>
      </c>
      <c r="Q650">
        <v>1350</v>
      </c>
      <c r="R650">
        <v>7.4423629999999996E-3</v>
      </c>
      <c r="S650" t="s">
        <v>150</v>
      </c>
      <c r="T650">
        <v>22</v>
      </c>
      <c r="U650">
        <v>0</v>
      </c>
      <c r="V650">
        <v>22</v>
      </c>
      <c r="W650">
        <v>0</v>
      </c>
      <c r="X650" t="s">
        <v>149</v>
      </c>
      <c r="Y650" t="s">
        <v>157</v>
      </c>
    </row>
    <row r="651" spans="1:25">
      <c r="A651" t="s">
        <v>832</v>
      </c>
      <c r="B651" s="113">
        <v>44582</v>
      </c>
      <c r="C651" t="s">
        <v>159</v>
      </c>
      <c r="D651" t="s">
        <v>168</v>
      </c>
      <c r="E651">
        <v>62</v>
      </c>
      <c r="F651">
        <v>765</v>
      </c>
      <c r="G651" t="s">
        <v>147</v>
      </c>
      <c r="H651">
        <v>128342.65180000001</v>
      </c>
      <c r="J651" t="s">
        <v>156</v>
      </c>
      <c r="K651" t="s">
        <v>156</v>
      </c>
      <c r="L651">
        <v>0.9</v>
      </c>
      <c r="M651" t="s">
        <v>149</v>
      </c>
      <c r="N651">
        <v>2</v>
      </c>
      <c r="O651">
        <v>0.6</v>
      </c>
      <c r="P651">
        <v>3</v>
      </c>
      <c r="Q651">
        <v>1250</v>
      </c>
      <c r="R651">
        <v>0.16666109800000001</v>
      </c>
      <c r="S651" t="s">
        <v>150</v>
      </c>
      <c r="T651">
        <v>15</v>
      </c>
      <c r="U651">
        <v>1</v>
      </c>
      <c r="V651">
        <v>15</v>
      </c>
      <c r="W651">
        <v>0</v>
      </c>
      <c r="X651" t="s">
        <v>149</v>
      </c>
      <c r="Y651" t="s">
        <v>157</v>
      </c>
    </row>
    <row r="652" spans="1:25">
      <c r="A652" t="s">
        <v>833</v>
      </c>
      <c r="B652" s="113">
        <v>44583</v>
      </c>
      <c r="C652" t="s">
        <v>159</v>
      </c>
      <c r="D652" t="s">
        <v>197</v>
      </c>
      <c r="E652">
        <v>32</v>
      </c>
      <c r="F652">
        <v>507</v>
      </c>
      <c r="G652" t="s">
        <v>176</v>
      </c>
      <c r="H652">
        <v>22344.748820000001</v>
      </c>
      <c r="I652">
        <v>22344.748820000001</v>
      </c>
      <c r="J652" t="s">
        <v>170</v>
      </c>
      <c r="K652" t="s">
        <v>170</v>
      </c>
      <c r="L652">
        <v>2.6</v>
      </c>
      <c r="M652" t="s">
        <v>149</v>
      </c>
      <c r="N652">
        <v>1</v>
      </c>
      <c r="O652">
        <v>0.5</v>
      </c>
      <c r="P652">
        <v>3</v>
      </c>
      <c r="Q652">
        <v>900</v>
      </c>
      <c r="R652">
        <v>0.321622403</v>
      </c>
      <c r="S652" t="s">
        <v>198</v>
      </c>
      <c r="Y652" t="s">
        <v>199</v>
      </c>
    </row>
    <row r="653" spans="1:25">
      <c r="A653" t="s">
        <v>834</v>
      </c>
      <c r="B653" s="113">
        <v>44584</v>
      </c>
      <c r="C653" t="s">
        <v>162</v>
      </c>
      <c r="D653" t="s">
        <v>190</v>
      </c>
      <c r="E653">
        <v>43</v>
      </c>
      <c r="F653">
        <v>790</v>
      </c>
      <c r="G653" t="s">
        <v>155</v>
      </c>
      <c r="H653">
        <v>43356.24381</v>
      </c>
      <c r="I653">
        <v>43356.24381</v>
      </c>
      <c r="J653" t="s">
        <v>148</v>
      </c>
      <c r="K653" t="s">
        <v>148</v>
      </c>
      <c r="L653">
        <v>8.1999999999999993</v>
      </c>
      <c r="M653" t="s">
        <v>149</v>
      </c>
      <c r="N653">
        <v>1</v>
      </c>
      <c r="O653">
        <v>25.7</v>
      </c>
      <c r="P653">
        <v>3</v>
      </c>
      <c r="Q653">
        <v>800</v>
      </c>
      <c r="R653">
        <v>0.46836772500000001</v>
      </c>
      <c r="S653" t="s">
        <v>150</v>
      </c>
      <c r="T653">
        <v>19</v>
      </c>
      <c r="U653">
        <v>0</v>
      </c>
      <c r="V653">
        <v>19</v>
      </c>
      <c r="W653">
        <v>0</v>
      </c>
      <c r="X653" t="s">
        <v>151</v>
      </c>
      <c r="Y653" t="s">
        <v>152</v>
      </c>
    </row>
    <row r="654" spans="1:25">
      <c r="A654" t="s">
        <v>835</v>
      </c>
      <c r="B654" s="113">
        <v>44585</v>
      </c>
      <c r="C654" t="s">
        <v>145</v>
      </c>
      <c r="D654" t="s">
        <v>154</v>
      </c>
      <c r="E654">
        <v>33</v>
      </c>
      <c r="F654">
        <v>628</v>
      </c>
      <c r="G654" t="s">
        <v>176</v>
      </c>
      <c r="H654">
        <v>22221.146580000001</v>
      </c>
      <c r="I654">
        <v>22221.146580000001</v>
      </c>
      <c r="J654" t="s">
        <v>170</v>
      </c>
      <c r="K654" t="s">
        <v>170</v>
      </c>
      <c r="L654">
        <v>3</v>
      </c>
      <c r="M654" t="s">
        <v>149</v>
      </c>
      <c r="N654">
        <v>0</v>
      </c>
      <c r="O654">
        <v>1.5</v>
      </c>
      <c r="P654">
        <v>3</v>
      </c>
      <c r="Q654">
        <v>1950</v>
      </c>
      <c r="R654">
        <v>0.60314838999999998</v>
      </c>
      <c r="S654" t="s">
        <v>198</v>
      </c>
      <c r="Y654" t="s">
        <v>199</v>
      </c>
    </row>
    <row r="655" spans="1:25">
      <c r="A655" t="s">
        <v>836</v>
      </c>
      <c r="B655" s="113">
        <v>44585</v>
      </c>
      <c r="C655" t="s">
        <v>162</v>
      </c>
      <c r="D655" t="s">
        <v>163</v>
      </c>
      <c r="E655">
        <v>65</v>
      </c>
      <c r="F655">
        <v>228</v>
      </c>
      <c r="G655" t="s">
        <v>176</v>
      </c>
      <c r="H655">
        <v>46068.752860000001</v>
      </c>
      <c r="J655" t="s">
        <v>148</v>
      </c>
      <c r="K655" t="s">
        <v>148</v>
      </c>
      <c r="L655">
        <v>3.8</v>
      </c>
      <c r="M655" t="s">
        <v>149</v>
      </c>
      <c r="N655">
        <v>3</v>
      </c>
      <c r="O655">
        <v>0.5</v>
      </c>
      <c r="P655">
        <v>2</v>
      </c>
      <c r="Q655">
        <v>1000</v>
      </c>
      <c r="R655">
        <v>0.722521368</v>
      </c>
      <c r="S655" t="s">
        <v>150</v>
      </c>
      <c r="T655">
        <v>22</v>
      </c>
      <c r="U655">
        <v>0</v>
      </c>
      <c r="V655">
        <v>22</v>
      </c>
      <c r="W655">
        <v>0</v>
      </c>
      <c r="X655" t="s">
        <v>149</v>
      </c>
      <c r="Y655" t="s">
        <v>157</v>
      </c>
    </row>
    <row r="656" spans="1:25">
      <c r="A656" t="s">
        <v>837</v>
      </c>
      <c r="B656" s="113">
        <v>44589</v>
      </c>
      <c r="C656" t="s">
        <v>162</v>
      </c>
      <c r="D656" t="s">
        <v>193</v>
      </c>
      <c r="E656">
        <v>38</v>
      </c>
      <c r="F656">
        <v>512</v>
      </c>
      <c r="G656" t="s">
        <v>147</v>
      </c>
      <c r="H656">
        <v>13567.11067</v>
      </c>
      <c r="J656" t="s">
        <v>148</v>
      </c>
      <c r="K656" t="s">
        <v>166</v>
      </c>
      <c r="L656">
        <v>6.2</v>
      </c>
      <c r="M656" t="s">
        <v>149</v>
      </c>
      <c r="N656">
        <v>4</v>
      </c>
      <c r="O656">
        <v>9.8000000000000007</v>
      </c>
      <c r="P656">
        <v>3</v>
      </c>
      <c r="Q656">
        <v>1150</v>
      </c>
      <c r="R656">
        <v>0.82343722500000005</v>
      </c>
      <c r="S656" t="s">
        <v>150</v>
      </c>
      <c r="T656">
        <v>17</v>
      </c>
      <c r="U656">
        <v>0</v>
      </c>
      <c r="V656">
        <v>17</v>
      </c>
      <c r="W656">
        <v>0</v>
      </c>
      <c r="X656" t="s">
        <v>149</v>
      </c>
      <c r="Y656" t="s">
        <v>157</v>
      </c>
    </row>
    <row r="657" spans="1:25">
      <c r="A657" t="s">
        <v>838</v>
      </c>
      <c r="B657" s="113">
        <v>44590</v>
      </c>
      <c r="C657" t="s">
        <v>162</v>
      </c>
      <c r="D657" t="s">
        <v>187</v>
      </c>
      <c r="E657">
        <v>42</v>
      </c>
      <c r="F657">
        <v>701</v>
      </c>
      <c r="G657" t="s">
        <v>147</v>
      </c>
      <c r="H657">
        <v>57451.031660000001</v>
      </c>
      <c r="I657">
        <v>57451.031660000001</v>
      </c>
      <c r="J657" t="s">
        <v>148</v>
      </c>
      <c r="K657" t="s">
        <v>166</v>
      </c>
      <c r="L657">
        <v>0.7</v>
      </c>
      <c r="M657" t="s">
        <v>149</v>
      </c>
      <c r="N657">
        <v>2</v>
      </c>
      <c r="O657">
        <v>6.2</v>
      </c>
      <c r="P657">
        <v>3</v>
      </c>
      <c r="Q657">
        <v>1200</v>
      </c>
      <c r="R657">
        <v>0.90331802100000003</v>
      </c>
      <c r="S657" t="s">
        <v>150</v>
      </c>
      <c r="T657">
        <v>14</v>
      </c>
      <c r="U657">
        <v>0</v>
      </c>
      <c r="V657">
        <v>14</v>
      </c>
      <c r="W657">
        <v>0</v>
      </c>
      <c r="X657" t="s">
        <v>151</v>
      </c>
      <c r="Y657" t="s">
        <v>152</v>
      </c>
    </row>
    <row r="658" spans="1:25">
      <c r="A658" t="s">
        <v>839</v>
      </c>
      <c r="B658" s="113">
        <v>44590</v>
      </c>
      <c r="C658" t="s">
        <v>162</v>
      </c>
      <c r="D658" t="s">
        <v>163</v>
      </c>
      <c r="E658">
        <v>50</v>
      </c>
      <c r="F658">
        <v>786</v>
      </c>
      <c r="G658" t="s">
        <v>169</v>
      </c>
      <c r="H658">
        <v>62440.124369999998</v>
      </c>
      <c r="I658">
        <v>62440.124369999998</v>
      </c>
      <c r="J658" t="s">
        <v>148</v>
      </c>
      <c r="K658" t="s">
        <v>148</v>
      </c>
      <c r="L658">
        <v>0.7</v>
      </c>
      <c r="M658" t="s">
        <v>149</v>
      </c>
      <c r="N658">
        <v>1</v>
      </c>
      <c r="O658">
        <v>7.2</v>
      </c>
      <c r="P658">
        <v>3</v>
      </c>
      <c r="Q658">
        <v>1950</v>
      </c>
      <c r="R658">
        <v>0.960123167</v>
      </c>
      <c r="S658" t="s">
        <v>150</v>
      </c>
      <c r="T658">
        <v>14</v>
      </c>
      <c r="U658">
        <v>0</v>
      </c>
      <c r="V658">
        <v>14</v>
      </c>
      <c r="W658">
        <v>0</v>
      </c>
      <c r="X658" t="s">
        <v>149</v>
      </c>
      <c r="Y658" t="s">
        <v>157</v>
      </c>
    </row>
    <row r="659" spans="1:25">
      <c r="A659" t="s">
        <v>840</v>
      </c>
      <c r="B659" s="113">
        <v>44592</v>
      </c>
      <c r="C659" t="s">
        <v>145</v>
      </c>
      <c r="D659" t="s">
        <v>280</v>
      </c>
      <c r="E659">
        <v>41</v>
      </c>
      <c r="F659">
        <v>708</v>
      </c>
      <c r="G659" t="s">
        <v>169</v>
      </c>
      <c r="H659">
        <v>17058.268250000001</v>
      </c>
      <c r="I659">
        <v>17058.268250000001</v>
      </c>
      <c r="J659" t="s">
        <v>156</v>
      </c>
      <c r="K659" t="s">
        <v>156</v>
      </c>
      <c r="L659">
        <v>2.5</v>
      </c>
      <c r="M659" t="s">
        <v>149</v>
      </c>
      <c r="N659">
        <v>3</v>
      </c>
      <c r="O659">
        <v>4.7</v>
      </c>
      <c r="P659">
        <v>2</v>
      </c>
      <c r="Q659">
        <v>1500</v>
      </c>
      <c r="R659">
        <v>0.99240155100000005</v>
      </c>
      <c r="S659" t="s">
        <v>198</v>
      </c>
      <c r="Y659" t="s">
        <v>199</v>
      </c>
    </row>
    <row r="660" spans="1:25">
      <c r="A660" t="s">
        <v>841</v>
      </c>
      <c r="B660" s="113">
        <v>44592</v>
      </c>
      <c r="C660" t="s">
        <v>159</v>
      </c>
      <c r="D660" t="s">
        <v>168</v>
      </c>
      <c r="E660">
        <v>34</v>
      </c>
      <c r="F660">
        <v>816</v>
      </c>
      <c r="G660" t="s">
        <v>169</v>
      </c>
      <c r="H660">
        <v>84405.474480000004</v>
      </c>
      <c r="I660">
        <v>84405.474480000004</v>
      </c>
      <c r="J660" t="s">
        <v>148</v>
      </c>
      <c r="K660" t="s">
        <v>148</v>
      </c>
      <c r="L660">
        <v>2.4</v>
      </c>
      <c r="M660" t="s">
        <v>149</v>
      </c>
      <c r="N660">
        <v>4</v>
      </c>
      <c r="O660">
        <v>14.1</v>
      </c>
      <c r="P660">
        <v>3</v>
      </c>
      <c r="Q660">
        <v>1100</v>
      </c>
      <c r="R660">
        <v>0.99932860700000004</v>
      </c>
      <c r="S660" t="s">
        <v>150</v>
      </c>
      <c r="T660">
        <v>14</v>
      </c>
      <c r="U660">
        <v>0</v>
      </c>
      <c r="V660">
        <v>14</v>
      </c>
      <c r="W660">
        <v>0</v>
      </c>
      <c r="X660" t="s">
        <v>149</v>
      </c>
      <c r="Y660" t="s">
        <v>157</v>
      </c>
    </row>
    <row r="661" spans="1:25">
      <c r="A661" t="s">
        <v>842</v>
      </c>
      <c r="B661" s="113">
        <v>44596</v>
      </c>
      <c r="C661" t="s">
        <v>145</v>
      </c>
      <c r="D661" t="s">
        <v>213</v>
      </c>
      <c r="E661">
        <v>33</v>
      </c>
      <c r="F661">
        <v>664</v>
      </c>
      <c r="G661" t="s">
        <v>147</v>
      </c>
      <c r="H661">
        <v>51203.670630000001</v>
      </c>
      <c r="I661">
        <v>51203.670630000001</v>
      </c>
      <c r="J661" t="s">
        <v>148</v>
      </c>
      <c r="K661" t="s">
        <v>148</v>
      </c>
      <c r="L661">
        <v>5</v>
      </c>
      <c r="M661" t="s">
        <v>149</v>
      </c>
      <c r="N661">
        <v>2</v>
      </c>
      <c r="O661">
        <v>0</v>
      </c>
      <c r="P661">
        <v>3</v>
      </c>
      <c r="Q661">
        <v>800</v>
      </c>
      <c r="R661">
        <v>0.98072738100000001</v>
      </c>
      <c r="S661" t="s">
        <v>150</v>
      </c>
      <c r="T661">
        <v>11</v>
      </c>
      <c r="U661">
        <v>0</v>
      </c>
      <c r="V661">
        <v>11</v>
      </c>
      <c r="W661">
        <v>0</v>
      </c>
      <c r="X661" t="s">
        <v>151</v>
      </c>
      <c r="Y661" t="s">
        <v>152</v>
      </c>
    </row>
    <row r="662" spans="1:25">
      <c r="A662" t="s">
        <v>843</v>
      </c>
      <c r="B662" s="113">
        <v>44597</v>
      </c>
      <c r="C662" t="s">
        <v>159</v>
      </c>
      <c r="D662" t="s">
        <v>160</v>
      </c>
      <c r="E662">
        <v>41</v>
      </c>
      <c r="F662">
        <v>776</v>
      </c>
      <c r="G662" t="s">
        <v>155</v>
      </c>
      <c r="H662">
        <v>62704.565990000003</v>
      </c>
      <c r="I662">
        <v>62704.565990000003</v>
      </c>
      <c r="J662" t="s">
        <v>183</v>
      </c>
      <c r="K662" t="s">
        <v>183</v>
      </c>
      <c r="L662">
        <v>5.5</v>
      </c>
      <c r="M662" t="s">
        <v>149</v>
      </c>
      <c r="N662">
        <v>2</v>
      </c>
      <c r="O662">
        <v>1.7</v>
      </c>
      <c r="P662">
        <v>2</v>
      </c>
      <c r="Q662">
        <v>1350</v>
      </c>
      <c r="R662">
        <v>0.93707304899999999</v>
      </c>
      <c r="S662" t="s">
        <v>150</v>
      </c>
      <c r="T662">
        <v>15</v>
      </c>
      <c r="U662">
        <v>0</v>
      </c>
      <c r="V662">
        <v>15</v>
      </c>
      <c r="W662">
        <v>0</v>
      </c>
      <c r="X662" t="s">
        <v>149</v>
      </c>
      <c r="Y662" t="s">
        <v>157</v>
      </c>
    </row>
    <row r="663" spans="1:25">
      <c r="A663" t="s">
        <v>844</v>
      </c>
      <c r="B663" s="113">
        <v>44597</v>
      </c>
      <c r="C663" t="s">
        <v>159</v>
      </c>
      <c r="D663" t="s">
        <v>160</v>
      </c>
      <c r="E663">
        <v>27</v>
      </c>
      <c r="F663">
        <v>709</v>
      </c>
      <c r="G663" t="s">
        <v>147</v>
      </c>
      <c r="H663">
        <v>56153.192560000003</v>
      </c>
      <c r="I663">
        <v>56153.192560000003</v>
      </c>
      <c r="J663" t="s">
        <v>148</v>
      </c>
      <c r="K663" t="s">
        <v>148</v>
      </c>
      <c r="L663">
        <v>6.5</v>
      </c>
      <c r="M663" t="s">
        <v>149</v>
      </c>
      <c r="N663">
        <v>4</v>
      </c>
      <c r="O663">
        <v>17.399999999999999</v>
      </c>
      <c r="P663">
        <v>4</v>
      </c>
      <c r="Q663">
        <v>1000</v>
      </c>
      <c r="R663">
        <v>0.86948077999999995</v>
      </c>
      <c r="S663" t="s">
        <v>150</v>
      </c>
      <c r="T663">
        <v>18</v>
      </c>
      <c r="U663">
        <v>0</v>
      </c>
      <c r="V663">
        <v>18</v>
      </c>
      <c r="W663">
        <v>0</v>
      </c>
      <c r="X663" t="s">
        <v>149</v>
      </c>
      <c r="Y663" t="s">
        <v>157</v>
      </c>
    </row>
    <row r="664" spans="1:25">
      <c r="A664" t="s">
        <v>845</v>
      </c>
      <c r="B664" s="113">
        <v>44598</v>
      </c>
      <c r="C664" t="s">
        <v>159</v>
      </c>
      <c r="D664" t="s">
        <v>168</v>
      </c>
      <c r="E664">
        <v>43</v>
      </c>
      <c r="F664">
        <v>721</v>
      </c>
      <c r="G664" t="s">
        <v>147</v>
      </c>
      <c r="H664">
        <v>153448.2672</v>
      </c>
      <c r="I664">
        <v>153448.2672</v>
      </c>
      <c r="J664" t="s">
        <v>221</v>
      </c>
      <c r="K664" t="s">
        <v>221</v>
      </c>
      <c r="L664">
        <v>3.6</v>
      </c>
      <c r="M664" t="s">
        <v>149</v>
      </c>
      <c r="N664">
        <v>1</v>
      </c>
      <c r="O664">
        <v>7.4</v>
      </c>
      <c r="P664">
        <v>2</v>
      </c>
      <c r="Q664">
        <v>1500</v>
      </c>
      <c r="R664">
        <v>0.77967724699999996</v>
      </c>
      <c r="S664" t="s">
        <v>150</v>
      </c>
      <c r="T664">
        <v>17</v>
      </c>
      <c r="U664">
        <v>0</v>
      </c>
      <c r="V664">
        <v>17</v>
      </c>
      <c r="W664">
        <v>0</v>
      </c>
      <c r="X664" t="s">
        <v>149</v>
      </c>
      <c r="Y664" t="s">
        <v>157</v>
      </c>
    </row>
    <row r="665" spans="1:25">
      <c r="A665" t="s">
        <v>846</v>
      </c>
      <c r="B665" s="113">
        <v>44599</v>
      </c>
      <c r="C665" t="s">
        <v>162</v>
      </c>
      <c r="D665" t="s">
        <v>187</v>
      </c>
      <c r="E665">
        <v>41</v>
      </c>
      <c r="F665">
        <v>652</v>
      </c>
      <c r="G665" t="s">
        <v>169</v>
      </c>
      <c r="H665">
        <v>32393.51</v>
      </c>
      <c r="I665">
        <v>32393.51</v>
      </c>
      <c r="J665" t="s">
        <v>148</v>
      </c>
      <c r="K665" t="s">
        <v>148</v>
      </c>
      <c r="L665">
        <v>1.6</v>
      </c>
      <c r="M665" t="s">
        <v>149</v>
      </c>
      <c r="N665">
        <v>3</v>
      </c>
      <c r="O665">
        <v>6.6</v>
      </c>
      <c r="P665">
        <v>2</v>
      </c>
      <c r="Q665">
        <v>800</v>
      </c>
      <c r="R665">
        <v>0.669956522</v>
      </c>
      <c r="S665" t="s">
        <v>150</v>
      </c>
      <c r="T665">
        <v>18</v>
      </c>
      <c r="U665">
        <v>1</v>
      </c>
      <c r="V665">
        <v>18</v>
      </c>
      <c r="W665">
        <v>0</v>
      </c>
      <c r="X665" t="s">
        <v>151</v>
      </c>
      <c r="Y665" t="s">
        <v>152</v>
      </c>
    </row>
    <row r="666" spans="1:25">
      <c r="A666" t="s">
        <v>847</v>
      </c>
      <c r="B666" s="113">
        <v>44601</v>
      </c>
      <c r="C666" t="s">
        <v>159</v>
      </c>
      <c r="D666" t="s">
        <v>209</v>
      </c>
      <c r="E666">
        <v>37</v>
      </c>
      <c r="F666">
        <v>717</v>
      </c>
      <c r="G666" t="s">
        <v>169</v>
      </c>
      <c r="H666">
        <v>48354.996379999997</v>
      </c>
      <c r="I666">
        <v>48354.996379999997</v>
      </c>
      <c r="J666" t="s">
        <v>148</v>
      </c>
      <c r="K666" t="s">
        <v>148</v>
      </c>
      <c r="L666">
        <v>3.9</v>
      </c>
      <c r="M666" t="s">
        <v>149</v>
      </c>
      <c r="N666">
        <v>1</v>
      </c>
      <c r="O666">
        <v>8.1999999999999993</v>
      </c>
      <c r="P666">
        <v>4</v>
      </c>
      <c r="Q666">
        <v>1200</v>
      </c>
      <c r="R666">
        <v>0.54312146699999997</v>
      </c>
      <c r="S666" t="s">
        <v>150</v>
      </c>
      <c r="T666">
        <v>8</v>
      </c>
      <c r="U666">
        <v>0</v>
      </c>
      <c r="V666">
        <v>8</v>
      </c>
      <c r="W666">
        <v>0</v>
      </c>
      <c r="X666" t="s">
        <v>151</v>
      </c>
      <c r="Y666" t="s">
        <v>152</v>
      </c>
    </row>
    <row r="667" spans="1:25">
      <c r="A667" t="s">
        <v>848</v>
      </c>
      <c r="B667" s="113">
        <v>44601</v>
      </c>
      <c r="C667" t="s">
        <v>159</v>
      </c>
      <c r="D667" t="s">
        <v>160</v>
      </c>
      <c r="E667">
        <v>46</v>
      </c>
      <c r="F667">
        <v>717</v>
      </c>
      <c r="G667" t="s">
        <v>176</v>
      </c>
      <c r="H667">
        <v>23722.530739999998</v>
      </c>
      <c r="I667">
        <v>23722.530739999998</v>
      </c>
      <c r="J667" t="s">
        <v>527</v>
      </c>
      <c r="K667" t="s">
        <v>148</v>
      </c>
      <c r="L667">
        <v>0.8</v>
      </c>
      <c r="M667" t="s">
        <v>149</v>
      </c>
      <c r="N667">
        <v>2</v>
      </c>
      <c r="O667">
        <v>0</v>
      </c>
      <c r="P667">
        <v>3</v>
      </c>
      <c r="Q667">
        <v>1700</v>
      </c>
      <c r="R667">
        <v>0.402412139</v>
      </c>
      <c r="S667" t="s">
        <v>198</v>
      </c>
      <c r="Y667" t="s">
        <v>199</v>
      </c>
    </row>
    <row r="668" spans="1:25">
      <c r="A668" t="s">
        <v>849</v>
      </c>
      <c r="B668" s="113">
        <v>44604</v>
      </c>
      <c r="C668" t="s">
        <v>145</v>
      </c>
      <c r="D668" t="s">
        <v>172</v>
      </c>
      <c r="E668">
        <v>57</v>
      </c>
      <c r="F668">
        <v>426</v>
      </c>
      <c r="G668" t="s">
        <v>147</v>
      </c>
      <c r="H668">
        <v>59855.557309999997</v>
      </c>
      <c r="I668">
        <v>59855.557309999997</v>
      </c>
      <c r="J668" t="s">
        <v>183</v>
      </c>
      <c r="K668" t="s">
        <v>183</v>
      </c>
      <c r="L668">
        <v>0.6</v>
      </c>
      <c r="M668" t="s">
        <v>149</v>
      </c>
      <c r="N668">
        <v>6</v>
      </c>
      <c r="O668">
        <v>5.9</v>
      </c>
      <c r="P668">
        <v>3</v>
      </c>
      <c r="Q668">
        <v>1050</v>
      </c>
      <c r="R668">
        <v>0.25142301900000003</v>
      </c>
      <c r="S668" t="s">
        <v>150</v>
      </c>
      <c r="T668">
        <v>12</v>
      </c>
      <c r="U668">
        <v>0</v>
      </c>
      <c r="V668">
        <v>12</v>
      </c>
      <c r="W668">
        <v>0</v>
      </c>
      <c r="X668" t="s">
        <v>149</v>
      </c>
      <c r="Y668" t="s">
        <v>157</v>
      </c>
    </row>
    <row r="669" spans="1:25">
      <c r="A669" t="s">
        <v>850</v>
      </c>
      <c r="B669" s="113">
        <v>44604</v>
      </c>
      <c r="C669" t="s">
        <v>159</v>
      </c>
      <c r="D669" t="s">
        <v>168</v>
      </c>
      <c r="E669">
        <v>47</v>
      </c>
      <c r="F669">
        <v>636</v>
      </c>
      <c r="G669" t="s">
        <v>169</v>
      </c>
      <c r="H669">
        <v>43006.153559999999</v>
      </c>
      <c r="J669" t="s">
        <v>183</v>
      </c>
      <c r="K669" t="s">
        <v>166</v>
      </c>
      <c r="L669">
        <v>4.3</v>
      </c>
      <c r="M669" t="s">
        <v>149</v>
      </c>
      <c r="N669">
        <v>2</v>
      </c>
      <c r="O669">
        <v>3.4</v>
      </c>
      <c r="P669">
        <v>3</v>
      </c>
      <c r="Q669">
        <v>1400</v>
      </c>
      <c r="R669">
        <v>9.4011187999999996E-2</v>
      </c>
      <c r="S669" t="s">
        <v>150</v>
      </c>
      <c r="T669">
        <v>13</v>
      </c>
      <c r="U669">
        <v>0</v>
      </c>
      <c r="V669">
        <v>13</v>
      </c>
      <c r="W669">
        <v>0</v>
      </c>
      <c r="X669" t="s">
        <v>149</v>
      </c>
      <c r="Y669" t="s">
        <v>157</v>
      </c>
    </row>
    <row r="670" spans="1:25">
      <c r="A670" t="s">
        <v>851</v>
      </c>
      <c r="B670" s="113">
        <v>44605</v>
      </c>
      <c r="C670" t="s">
        <v>162</v>
      </c>
      <c r="D670" t="s">
        <v>163</v>
      </c>
      <c r="E670">
        <v>42</v>
      </c>
      <c r="F670">
        <v>619</v>
      </c>
      <c r="G670" t="s">
        <v>155</v>
      </c>
      <c r="H670">
        <v>49501.643929999998</v>
      </c>
      <c r="I670">
        <v>49501.643929999998</v>
      </c>
      <c r="J670" t="s">
        <v>156</v>
      </c>
      <c r="K670" t="s">
        <v>156</v>
      </c>
      <c r="L670">
        <v>0.8</v>
      </c>
      <c r="M670" t="s">
        <v>149</v>
      </c>
      <c r="N670">
        <v>1</v>
      </c>
      <c r="O670">
        <v>1.1000000000000001</v>
      </c>
      <c r="P670">
        <v>4</v>
      </c>
      <c r="Q670">
        <v>1650</v>
      </c>
      <c r="R670">
        <v>6.5802199000000006E-2</v>
      </c>
      <c r="S670" t="s">
        <v>150</v>
      </c>
      <c r="T670">
        <v>16</v>
      </c>
      <c r="U670">
        <v>2</v>
      </c>
      <c r="V670">
        <v>16</v>
      </c>
      <c r="W670">
        <v>0</v>
      </c>
      <c r="X670" t="s">
        <v>151</v>
      </c>
      <c r="Y670" t="s">
        <v>152</v>
      </c>
    </row>
    <row r="671" spans="1:25">
      <c r="A671" t="s">
        <v>852</v>
      </c>
      <c r="B671" s="113">
        <v>44605</v>
      </c>
      <c r="C671" t="s">
        <v>162</v>
      </c>
      <c r="D671" t="s">
        <v>193</v>
      </c>
      <c r="E671">
        <v>36</v>
      </c>
      <c r="F671">
        <v>697</v>
      </c>
      <c r="G671" t="s">
        <v>176</v>
      </c>
      <c r="H671">
        <v>71510.691829999996</v>
      </c>
      <c r="J671" t="s">
        <v>148</v>
      </c>
      <c r="K671" t="s">
        <v>148</v>
      </c>
      <c r="L671">
        <v>2.9</v>
      </c>
      <c r="M671" t="s">
        <v>149</v>
      </c>
      <c r="N671">
        <v>0</v>
      </c>
      <c r="O671">
        <v>5.0999999999999996</v>
      </c>
      <c r="P671">
        <v>2</v>
      </c>
      <c r="Q671">
        <v>1250</v>
      </c>
      <c r="R671">
        <v>0.22393463999999999</v>
      </c>
      <c r="S671" t="s">
        <v>150</v>
      </c>
      <c r="T671">
        <v>22</v>
      </c>
      <c r="U671">
        <v>0</v>
      </c>
      <c r="V671">
        <v>22</v>
      </c>
      <c r="W671">
        <v>0</v>
      </c>
      <c r="X671" t="s">
        <v>149</v>
      </c>
      <c r="Y671" t="s">
        <v>157</v>
      </c>
    </row>
    <row r="672" spans="1:25">
      <c r="A672" t="s">
        <v>853</v>
      </c>
      <c r="B672" s="113">
        <v>44605</v>
      </c>
      <c r="C672" t="s">
        <v>159</v>
      </c>
      <c r="D672" t="s">
        <v>165</v>
      </c>
      <c r="E672">
        <v>28</v>
      </c>
      <c r="F672">
        <v>750</v>
      </c>
      <c r="G672" t="s">
        <v>169</v>
      </c>
      <c r="H672">
        <v>33854.950570000001</v>
      </c>
      <c r="I672">
        <v>33854.950570000001</v>
      </c>
      <c r="J672" t="s">
        <v>148</v>
      </c>
      <c r="K672" t="s">
        <v>148</v>
      </c>
      <c r="L672">
        <v>5.9</v>
      </c>
      <c r="M672" t="s">
        <v>149</v>
      </c>
      <c r="N672">
        <v>2</v>
      </c>
      <c r="O672">
        <v>18.600000000000001</v>
      </c>
      <c r="P672">
        <v>4</v>
      </c>
      <c r="Q672">
        <v>1250</v>
      </c>
      <c r="R672">
        <v>0.37634657399999999</v>
      </c>
      <c r="S672" t="s">
        <v>150</v>
      </c>
      <c r="T672">
        <v>12</v>
      </c>
      <c r="U672">
        <v>0</v>
      </c>
      <c r="V672">
        <v>12</v>
      </c>
      <c r="W672">
        <v>0</v>
      </c>
      <c r="X672" t="s">
        <v>149</v>
      </c>
      <c r="Y672" t="s">
        <v>157</v>
      </c>
    </row>
    <row r="673" spans="1:25">
      <c r="A673" t="s">
        <v>854</v>
      </c>
      <c r="B673" s="113">
        <v>44606</v>
      </c>
      <c r="C673" t="s">
        <v>159</v>
      </c>
      <c r="D673" t="s">
        <v>160</v>
      </c>
      <c r="E673">
        <v>37</v>
      </c>
      <c r="F673">
        <v>696</v>
      </c>
      <c r="G673" t="s">
        <v>155</v>
      </c>
      <c r="H673">
        <v>35579.294470000001</v>
      </c>
      <c r="J673" t="s">
        <v>156</v>
      </c>
      <c r="K673" t="s">
        <v>156</v>
      </c>
      <c r="L673">
        <v>6.9</v>
      </c>
      <c r="M673" t="s">
        <v>149</v>
      </c>
      <c r="N673">
        <v>1</v>
      </c>
      <c r="O673">
        <v>6.2</v>
      </c>
      <c r="P673">
        <v>3</v>
      </c>
      <c r="Q673">
        <v>1400</v>
      </c>
      <c r="R673">
        <v>0.51914457199999997</v>
      </c>
      <c r="S673" t="s">
        <v>150</v>
      </c>
      <c r="T673">
        <v>18</v>
      </c>
      <c r="U673">
        <v>0</v>
      </c>
      <c r="V673">
        <v>18</v>
      </c>
      <c r="W673">
        <v>0</v>
      </c>
      <c r="X673" t="s">
        <v>149</v>
      </c>
      <c r="Y673" t="s">
        <v>157</v>
      </c>
    </row>
    <row r="674" spans="1:25">
      <c r="A674" t="s">
        <v>855</v>
      </c>
      <c r="B674" s="113">
        <v>44606</v>
      </c>
      <c r="C674" t="s">
        <v>162</v>
      </c>
      <c r="D674" t="s">
        <v>187</v>
      </c>
      <c r="E674">
        <v>34</v>
      </c>
      <c r="F674">
        <v>818</v>
      </c>
      <c r="G674" t="s">
        <v>169</v>
      </c>
      <c r="H674">
        <v>35790.258779999996</v>
      </c>
      <c r="I674">
        <v>35790.258779999996</v>
      </c>
      <c r="J674" t="s">
        <v>148</v>
      </c>
      <c r="K674" t="s">
        <v>148</v>
      </c>
      <c r="L674">
        <v>5.7</v>
      </c>
      <c r="M674" t="s">
        <v>149</v>
      </c>
      <c r="N674">
        <v>3</v>
      </c>
      <c r="O674">
        <v>7.3</v>
      </c>
      <c r="P674">
        <v>4</v>
      </c>
      <c r="Q674">
        <v>1100</v>
      </c>
      <c r="R674">
        <v>0.64868079599999995</v>
      </c>
      <c r="S674" t="s">
        <v>150</v>
      </c>
      <c r="T674">
        <v>13</v>
      </c>
      <c r="U674">
        <v>0</v>
      </c>
      <c r="V674">
        <v>13</v>
      </c>
      <c r="W674">
        <v>0</v>
      </c>
      <c r="X674" t="s">
        <v>149</v>
      </c>
      <c r="Y674" t="s">
        <v>157</v>
      </c>
    </row>
    <row r="675" spans="1:25">
      <c r="A675" t="s">
        <v>856</v>
      </c>
      <c r="B675" s="113">
        <v>44607</v>
      </c>
      <c r="C675" t="s">
        <v>162</v>
      </c>
      <c r="D675" t="s">
        <v>179</v>
      </c>
      <c r="E675">
        <v>53</v>
      </c>
      <c r="F675">
        <v>705</v>
      </c>
      <c r="G675" t="s">
        <v>176</v>
      </c>
      <c r="H675">
        <v>67792.584149999995</v>
      </c>
      <c r="I675">
        <v>67792.584149999995</v>
      </c>
      <c r="J675" t="s">
        <v>148</v>
      </c>
      <c r="K675" t="s">
        <v>148</v>
      </c>
      <c r="L675">
        <v>2.7</v>
      </c>
      <c r="M675" t="s">
        <v>149</v>
      </c>
      <c r="N675">
        <v>2</v>
      </c>
      <c r="O675">
        <v>0.9</v>
      </c>
      <c r="P675">
        <v>2</v>
      </c>
      <c r="Q675">
        <v>1200</v>
      </c>
      <c r="R675">
        <v>0.76164618900000003</v>
      </c>
      <c r="S675" t="s">
        <v>150</v>
      </c>
      <c r="T675">
        <v>18</v>
      </c>
      <c r="U675">
        <v>0</v>
      </c>
      <c r="V675">
        <v>18</v>
      </c>
      <c r="W675">
        <v>0</v>
      </c>
      <c r="X675" t="s">
        <v>149</v>
      </c>
      <c r="Y675" t="s">
        <v>157</v>
      </c>
    </row>
    <row r="676" spans="1:25">
      <c r="A676" t="s">
        <v>857</v>
      </c>
      <c r="B676" s="113">
        <v>44607</v>
      </c>
      <c r="C676" t="s">
        <v>159</v>
      </c>
      <c r="D676" t="s">
        <v>209</v>
      </c>
      <c r="E676">
        <v>45</v>
      </c>
      <c r="F676">
        <v>564</v>
      </c>
      <c r="G676" t="s">
        <v>155</v>
      </c>
      <c r="H676">
        <v>14523.669830000001</v>
      </c>
      <c r="J676" t="s">
        <v>148</v>
      </c>
      <c r="K676" t="s">
        <v>148</v>
      </c>
      <c r="L676">
        <v>5.6</v>
      </c>
      <c r="M676" t="s">
        <v>149</v>
      </c>
      <c r="N676">
        <v>2</v>
      </c>
      <c r="O676">
        <v>7.1</v>
      </c>
      <c r="P676">
        <v>4</v>
      </c>
      <c r="Q676">
        <v>850</v>
      </c>
      <c r="R676">
        <v>0.855155</v>
      </c>
      <c r="S676" t="s">
        <v>150</v>
      </c>
      <c r="T676">
        <v>20</v>
      </c>
      <c r="U676">
        <v>0</v>
      </c>
      <c r="V676">
        <v>20</v>
      </c>
      <c r="W676">
        <v>0</v>
      </c>
      <c r="X676" t="s">
        <v>151</v>
      </c>
      <c r="Y676" t="s">
        <v>152</v>
      </c>
    </row>
    <row r="677" spans="1:25">
      <c r="A677" t="s">
        <v>858</v>
      </c>
      <c r="B677" s="113">
        <v>44608</v>
      </c>
      <c r="C677" t="s">
        <v>162</v>
      </c>
      <c r="D677" t="s">
        <v>193</v>
      </c>
      <c r="E677">
        <v>58</v>
      </c>
      <c r="F677">
        <v>795</v>
      </c>
      <c r="G677" t="s">
        <v>169</v>
      </c>
      <c r="H677">
        <v>77756.024860000005</v>
      </c>
      <c r="I677">
        <v>77756.024860000005</v>
      </c>
      <c r="J677" t="s">
        <v>148</v>
      </c>
      <c r="K677" t="s">
        <v>148</v>
      </c>
      <c r="L677">
        <v>0.1</v>
      </c>
      <c r="M677" t="s">
        <v>149</v>
      </c>
      <c r="N677">
        <v>1</v>
      </c>
      <c r="O677">
        <v>0.1</v>
      </c>
      <c r="P677">
        <v>3</v>
      </c>
      <c r="Q677">
        <v>850</v>
      </c>
      <c r="R677">
        <v>0.92681850499999996</v>
      </c>
      <c r="S677" t="s">
        <v>150</v>
      </c>
      <c r="T677">
        <v>12</v>
      </c>
      <c r="U677">
        <v>0</v>
      </c>
      <c r="V677">
        <v>12</v>
      </c>
      <c r="W677">
        <v>0</v>
      </c>
      <c r="X677" t="s">
        <v>149</v>
      </c>
      <c r="Y677" t="s">
        <v>157</v>
      </c>
    </row>
    <row r="678" spans="1:25">
      <c r="A678" t="s">
        <v>859</v>
      </c>
      <c r="B678" s="113">
        <v>44609</v>
      </c>
      <c r="C678" t="s">
        <v>159</v>
      </c>
      <c r="D678" t="s">
        <v>197</v>
      </c>
      <c r="E678">
        <v>58</v>
      </c>
      <c r="F678">
        <v>778</v>
      </c>
      <c r="G678" t="s">
        <v>176</v>
      </c>
      <c r="H678">
        <v>18515.649450000001</v>
      </c>
      <c r="J678" t="s">
        <v>148</v>
      </c>
      <c r="K678" t="s">
        <v>148</v>
      </c>
      <c r="L678">
        <v>6.4</v>
      </c>
      <c r="M678" t="s">
        <v>149</v>
      </c>
      <c r="N678">
        <v>7</v>
      </c>
      <c r="O678">
        <v>1.1000000000000001</v>
      </c>
      <c r="P678">
        <v>3</v>
      </c>
      <c r="Q678">
        <v>1100</v>
      </c>
      <c r="R678">
        <v>0.97480603099999996</v>
      </c>
      <c r="S678" t="s">
        <v>150</v>
      </c>
      <c r="T678">
        <v>14</v>
      </c>
      <c r="U678">
        <v>0</v>
      </c>
      <c r="V678">
        <v>14</v>
      </c>
      <c r="W678">
        <v>0</v>
      </c>
      <c r="X678" t="s">
        <v>151</v>
      </c>
      <c r="Y678" t="s">
        <v>152</v>
      </c>
    </row>
    <row r="679" spans="1:25">
      <c r="A679" t="s">
        <v>860</v>
      </c>
      <c r="B679" s="113">
        <v>44611</v>
      </c>
      <c r="C679" t="s">
        <v>162</v>
      </c>
      <c r="D679" t="s">
        <v>179</v>
      </c>
      <c r="E679">
        <v>30</v>
      </c>
      <c r="F679">
        <v>556</v>
      </c>
      <c r="G679" t="s">
        <v>147</v>
      </c>
      <c r="H679">
        <v>46789.067150000003</v>
      </c>
      <c r="I679">
        <v>46789.067150000003</v>
      </c>
      <c r="J679" t="s">
        <v>156</v>
      </c>
      <c r="K679" t="s">
        <v>156</v>
      </c>
      <c r="L679">
        <v>4.0999999999999996</v>
      </c>
      <c r="M679" t="s">
        <v>149</v>
      </c>
      <c r="N679">
        <v>2</v>
      </c>
      <c r="O679">
        <v>5.6</v>
      </c>
      <c r="P679">
        <v>4</v>
      </c>
      <c r="Q679">
        <v>1800</v>
      </c>
      <c r="R679">
        <v>0.99789171399999999</v>
      </c>
      <c r="S679" t="s">
        <v>150</v>
      </c>
      <c r="T679">
        <v>14</v>
      </c>
      <c r="U679">
        <v>0</v>
      </c>
      <c r="V679">
        <v>14</v>
      </c>
      <c r="W679">
        <v>1</v>
      </c>
      <c r="X679" t="s">
        <v>151</v>
      </c>
      <c r="Y679" t="s">
        <v>152</v>
      </c>
    </row>
    <row r="680" spans="1:25">
      <c r="A680" t="s">
        <v>861</v>
      </c>
      <c r="B680" s="113">
        <v>44611</v>
      </c>
      <c r="C680" t="s">
        <v>162</v>
      </c>
      <c r="D680" t="s">
        <v>190</v>
      </c>
      <c r="E680">
        <v>40</v>
      </c>
      <c r="F680">
        <v>667</v>
      </c>
      <c r="G680" t="s">
        <v>155</v>
      </c>
      <c r="H680">
        <v>28912.39227</v>
      </c>
      <c r="I680">
        <v>28912.39227</v>
      </c>
      <c r="J680" t="s">
        <v>148</v>
      </c>
      <c r="K680" t="s">
        <v>148</v>
      </c>
      <c r="L680">
        <v>4.9000000000000004</v>
      </c>
      <c r="M680" t="s">
        <v>149</v>
      </c>
      <c r="N680">
        <v>3</v>
      </c>
      <c r="O680">
        <v>6.8</v>
      </c>
      <c r="P680">
        <v>2</v>
      </c>
      <c r="Q680">
        <v>1700</v>
      </c>
      <c r="R680">
        <v>0.99548582100000005</v>
      </c>
      <c r="S680" t="s">
        <v>150</v>
      </c>
      <c r="T680">
        <v>20</v>
      </c>
      <c r="U680">
        <v>0</v>
      </c>
      <c r="V680">
        <v>20</v>
      </c>
      <c r="W680">
        <v>0</v>
      </c>
      <c r="X680" t="s">
        <v>149</v>
      </c>
      <c r="Y680" t="s">
        <v>157</v>
      </c>
    </row>
    <row r="681" spans="1:25">
      <c r="A681" t="s">
        <v>862</v>
      </c>
      <c r="B681" s="113">
        <v>44620</v>
      </c>
      <c r="C681" t="s">
        <v>159</v>
      </c>
      <c r="D681" t="s">
        <v>209</v>
      </c>
      <c r="E681">
        <v>32</v>
      </c>
      <c r="F681">
        <v>800</v>
      </c>
      <c r="G681" t="s">
        <v>155</v>
      </c>
      <c r="H681">
        <v>47141.025809999999</v>
      </c>
      <c r="I681">
        <v>47141.025809999999</v>
      </c>
      <c r="J681" t="s">
        <v>221</v>
      </c>
      <c r="K681" t="s">
        <v>221</v>
      </c>
      <c r="L681">
        <v>10.9</v>
      </c>
      <c r="M681" t="s">
        <v>149</v>
      </c>
      <c r="N681">
        <v>4</v>
      </c>
      <c r="O681">
        <v>4.7</v>
      </c>
      <c r="P681">
        <v>4</v>
      </c>
      <c r="Q681">
        <v>1100</v>
      </c>
      <c r="R681">
        <v>0.96764981100000003</v>
      </c>
      <c r="S681" t="s">
        <v>150</v>
      </c>
      <c r="T681">
        <v>19</v>
      </c>
      <c r="U681">
        <v>1</v>
      </c>
      <c r="V681">
        <v>19</v>
      </c>
      <c r="W681">
        <v>0</v>
      </c>
      <c r="X681" t="s">
        <v>149</v>
      </c>
      <c r="Y681" t="s">
        <v>157</v>
      </c>
    </row>
    <row r="682" spans="1:25">
      <c r="A682" t="s">
        <v>863</v>
      </c>
      <c r="B682" s="113">
        <v>44624</v>
      </c>
      <c r="C682" t="s">
        <v>162</v>
      </c>
      <c r="D682" t="s">
        <v>190</v>
      </c>
      <c r="E682">
        <v>35</v>
      </c>
      <c r="F682">
        <v>712</v>
      </c>
      <c r="G682" t="s">
        <v>155</v>
      </c>
      <c r="H682">
        <v>61556.995909999998</v>
      </c>
      <c r="I682">
        <v>61556.995909999998</v>
      </c>
      <c r="J682" t="s">
        <v>148</v>
      </c>
      <c r="K682" t="s">
        <v>148</v>
      </c>
      <c r="L682">
        <v>1.6</v>
      </c>
      <c r="M682" t="s">
        <v>149</v>
      </c>
      <c r="N682">
        <v>3</v>
      </c>
      <c r="O682">
        <v>6.9</v>
      </c>
      <c r="P682">
        <v>3</v>
      </c>
      <c r="Q682">
        <v>1100</v>
      </c>
      <c r="R682">
        <v>0.915094768</v>
      </c>
      <c r="S682" t="s">
        <v>150</v>
      </c>
      <c r="T682">
        <v>13</v>
      </c>
      <c r="U682">
        <v>0</v>
      </c>
      <c r="V682">
        <v>13</v>
      </c>
      <c r="W682">
        <v>0</v>
      </c>
      <c r="X682" t="s">
        <v>149</v>
      </c>
      <c r="Y682" t="s">
        <v>157</v>
      </c>
    </row>
    <row r="683" spans="1:25">
      <c r="A683" t="s">
        <v>864</v>
      </c>
      <c r="B683" s="113">
        <v>44624</v>
      </c>
      <c r="C683" t="s">
        <v>162</v>
      </c>
      <c r="D683" t="s">
        <v>195</v>
      </c>
      <c r="E683">
        <v>45</v>
      </c>
      <c r="F683">
        <v>805</v>
      </c>
      <c r="G683" t="s">
        <v>176</v>
      </c>
      <c r="H683">
        <v>39542.710200000001</v>
      </c>
      <c r="I683">
        <v>39542.710200000001</v>
      </c>
      <c r="J683" t="s">
        <v>221</v>
      </c>
      <c r="K683" t="s">
        <v>221</v>
      </c>
      <c r="L683">
        <v>3</v>
      </c>
      <c r="M683" t="s">
        <v>149</v>
      </c>
      <c r="N683">
        <v>3</v>
      </c>
      <c r="O683">
        <v>0.2</v>
      </c>
      <c r="P683">
        <v>4</v>
      </c>
      <c r="Q683">
        <v>1600</v>
      </c>
      <c r="R683">
        <v>0.83916323299999995</v>
      </c>
      <c r="S683" t="s">
        <v>150</v>
      </c>
      <c r="T683">
        <v>13</v>
      </c>
      <c r="U683">
        <v>0</v>
      </c>
      <c r="V683">
        <v>13</v>
      </c>
      <c r="W683">
        <v>0</v>
      </c>
      <c r="X683" t="s">
        <v>151</v>
      </c>
      <c r="Y683" t="s">
        <v>152</v>
      </c>
    </row>
    <row r="684" spans="1:25">
      <c r="A684" t="s">
        <v>865</v>
      </c>
      <c r="B684" s="113">
        <v>44625</v>
      </c>
      <c r="C684" t="s">
        <v>159</v>
      </c>
      <c r="D684" t="s">
        <v>197</v>
      </c>
      <c r="E684">
        <v>57</v>
      </c>
      <c r="F684">
        <v>776</v>
      </c>
      <c r="G684" t="s">
        <v>155</v>
      </c>
      <c r="H684">
        <v>45934.758629999997</v>
      </c>
      <c r="I684">
        <v>45934.758629999997</v>
      </c>
      <c r="J684" t="s">
        <v>148</v>
      </c>
      <c r="K684" t="s">
        <v>148</v>
      </c>
      <c r="L684">
        <v>0.1</v>
      </c>
      <c r="M684" t="s">
        <v>149</v>
      </c>
      <c r="N684">
        <v>6</v>
      </c>
      <c r="O684">
        <v>1.8</v>
      </c>
      <c r="P684">
        <v>2</v>
      </c>
      <c r="Q684">
        <v>800</v>
      </c>
      <c r="R684">
        <v>0.741794909</v>
      </c>
      <c r="S684" t="s">
        <v>150</v>
      </c>
      <c r="T684">
        <v>16</v>
      </c>
      <c r="U684">
        <v>0</v>
      </c>
      <c r="V684">
        <v>16</v>
      </c>
      <c r="W684">
        <v>0</v>
      </c>
      <c r="X684" t="s">
        <v>149</v>
      </c>
      <c r="Y684" t="s">
        <v>157</v>
      </c>
    </row>
    <row r="685" spans="1:25">
      <c r="A685" t="s">
        <v>866</v>
      </c>
      <c r="B685" s="113">
        <v>44626</v>
      </c>
      <c r="C685" t="s">
        <v>159</v>
      </c>
      <c r="D685" t="s">
        <v>197</v>
      </c>
      <c r="E685">
        <v>57</v>
      </c>
      <c r="F685">
        <v>498</v>
      </c>
      <c r="G685" t="s">
        <v>176</v>
      </c>
      <c r="H685">
        <v>308816.11050000001</v>
      </c>
      <c r="J685" t="s">
        <v>181</v>
      </c>
      <c r="K685" t="s">
        <v>181</v>
      </c>
      <c r="L685">
        <v>3.6</v>
      </c>
      <c r="M685" t="s">
        <v>149</v>
      </c>
      <c r="N685">
        <v>1</v>
      </c>
      <c r="O685">
        <v>2.5</v>
      </c>
      <c r="P685">
        <v>2</v>
      </c>
      <c r="Q685">
        <v>800</v>
      </c>
      <c r="R685">
        <v>0.625477112</v>
      </c>
      <c r="S685" t="s">
        <v>150</v>
      </c>
      <c r="T685">
        <v>17</v>
      </c>
      <c r="U685">
        <v>0</v>
      </c>
      <c r="V685">
        <v>17</v>
      </c>
      <c r="W685">
        <v>0</v>
      </c>
      <c r="X685" t="s">
        <v>149</v>
      </c>
      <c r="Y685" t="s">
        <v>157</v>
      </c>
    </row>
    <row r="686" spans="1:25">
      <c r="A686" t="s">
        <v>867</v>
      </c>
      <c r="B686" s="113">
        <v>44628</v>
      </c>
      <c r="C686" t="s">
        <v>162</v>
      </c>
      <c r="D686" t="s">
        <v>190</v>
      </c>
      <c r="E686">
        <v>43</v>
      </c>
      <c r="F686">
        <v>781</v>
      </c>
      <c r="G686" t="s">
        <v>155</v>
      </c>
      <c r="H686">
        <v>97771.986180000007</v>
      </c>
      <c r="I686">
        <v>97771.986180000007</v>
      </c>
      <c r="J686" t="s">
        <v>148</v>
      </c>
      <c r="K686" t="s">
        <v>148</v>
      </c>
      <c r="L686">
        <v>5</v>
      </c>
      <c r="M686" t="s">
        <v>149</v>
      </c>
      <c r="N686">
        <v>3</v>
      </c>
      <c r="O686">
        <v>5.3</v>
      </c>
      <c r="P686">
        <v>4</v>
      </c>
      <c r="Q686">
        <v>1800</v>
      </c>
      <c r="R686">
        <v>0.49318123200000002</v>
      </c>
      <c r="S686" t="s">
        <v>150</v>
      </c>
      <c r="T686">
        <v>22</v>
      </c>
      <c r="U686">
        <v>0</v>
      </c>
      <c r="V686">
        <v>22</v>
      </c>
      <c r="W686">
        <v>0</v>
      </c>
      <c r="X686" t="s">
        <v>149</v>
      </c>
      <c r="Y686" t="s">
        <v>157</v>
      </c>
    </row>
    <row r="687" spans="1:25">
      <c r="A687" t="s">
        <v>868</v>
      </c>
      <c r="B687" s="113">
        <v>44630</v>
      </c>
      <c r="C687" t="s">
        <v>162</v>
      </c>
      <c r="D687" t="s">
        <v>195</v>
      </c>
      <c r="E687">
        <v>35</v>
      </c>
      <c r="F687">
        <v>658</v>
      </c>
      <c r="G687" t="s">
        <v>155</v>
      </c>
      <c r="H687">
        <v>123114.5089</v>
      </c>
      <c r="I687">
        <v>123114.5089</v>
      </c>
      <c r="J687" t="s">
        <v>221</v>
      </c>
      <c r="K687" t="s">
        <v>221</v>
      </c>
      <c r="L687">
        <v>1.9</v>
      </c>
      <c r="M687" t="s">
        <v>149</v>
      </c>
      <c r="N687">
        <v>2</v>
      </c>
      <c r="O687">
        <v>5.4</v>
      </c>
      <c r="P687">
        <v>3</v>
      </c>
      <c r="Q687">
        <v>1800</v>
      </c>
      <c r="R687">
        <v>0.34828682399999999</v>
      </c>
      <c r="S687" t="s">
        <v>150</v>
      </c>
      <c r="T687">
        <v>23</v>
      </c>
      <c r="U687">
        <v>0</v>
      </c>
      <c r="V687">
        <v>23</v>
      </c>
      <c r="W687">
        <v>0</v>
      </c>
      <c r="X687" t="s">
        <v>149</v>
      </c>
      <c r="Y687" t="s">
        <v>157</v>
      </c>
    </row>
    <row r="688" spans="1:25">
      <c r="A688" t="s">
        <v>869</v>
      </c>
      <c r="B688" s="113">
        <v>44633</v>
      </c>
      <c r="C688" t="s">
        <v>159</v>
      </c>
      <c r="D688" t="s">
        <v>165</v>
      </c>
      <c r="E688">
        <v>38</v>
      </c>
      <c r="F688">
        <v>779</v>
      </c>
      <c r="G688" t="s">
        <v>147</v>
      </c>
      <c r="H688">
        <v>46932.238570000001</v>
      </c>
      <c r="J688" t="s">
        <v>148</v>
      </c>
      <c r="K688" t="s">
        <v>148</v>
      </c>
      <c r="L688">
        <v>5.6</v>
      </c>
      <c r="M688" t="s">
        <v>149</v>
      </c>
      <c r="N688">
        <v>4</v>
      </c>
      <c r="O688">
        <v>2.7</v>
      </c>
      <c r="P688">
        <v>3</v>
      </c>
      <c r="Q688">
        <v>800</v>
      </c>
      <c r="R688">
        <v>0.19449527799999999</v>
      </c>
      <c r="S688" t="s">
        <v>150</v>
      </c>
      <c r="T688">
        <v>20</v>
      </c>
      <c r="U688">
        <v>1</v>
      </c>
      <c r="V688">
        <v>20</v>
      </c>
      <c r="W688">
        <v>0</v>
      </c>
      <c r="X688" t="s">
        <v>149</v>
      </c>
      <c r="Y688" t="s">
        <v>157</v>
      </c>
    </row>
    <row r="689" spans="1:25">
      <c r="A689" t="s">
        <v>870</v>
      </c>
      <c r="B689" s="113">
        <v>44634</v>
      </c>
      <c r="C689" t="s">
        <v>162</v>
      </c>
      <c r="D689" t="s">
        <v>190</v>
      </c>
      <c r="E689">
        <v>41</v>
      </c>
      <c r="F689">
        <v>580</v>
      </c>
      <c r="G689" t="s">
        <v>169</v>
      </c>
      <c r="H689">
        <v>26773.073710000001</v>
      </c>
      <c r="J689" t="s">
        <v>148</v>
      </c>
      <c r="K689" t="s">
        <v>148</v>
      </c>
      <c r="L689">
        <v>2</v>
      </c>
      <c r="M689" t="s">
        <v>149</v>
      </c>
      <c r="N689">
        <v>3</v>
      </c>
      <c r="O689">
        <v>4.3</v>
      </c>
      <c r="P689">
        <v>3</v>
      </c>
      <c r="Q689">
        <v>1500</v>
      </c>
      <c r="R689">
        <v>3.5735266000000002E-2</v>
      </c>
      <c r="S689" t="s">
        <v>150</v>
      </c>
      <c r="T689">
        <v>19</v>
      </c>
      <c r="U689">
        <v>0</v>
      </c>
      <c r="V689">
        <v>19</v>
      </c>
      <c r="W689">
        <v>0</v>
      </c>
      <c r="X689" t="s">
        <v>149</v>
      </c>
      <c r="Y689" t="s">
        <v>157</v>
      </c>
    </row>
    <row r="690" spans="1:25">
      <c r="A690" t="s">
        <v>871</v>
      </c>
      <c r="B690" s="113">
        <v>44636</v>
      </c>
      <c r="C690" t="s">
        <v>162</v>
      </c>
      <c r="D690" t="s">
        <v>190</v>
      </c>
      <c r="E690">
        <v>57</v>
      </c>
      <c r="F690">
        <v>549</v>
      </c>
      <c r="G690" t="s">
        <v>147</v>
      </c>
      <c r="H690">
        <v>47146.71243</v>
      </c>
      <c r="I690">
        <v>47146.71243</v>
      </c>
      <c r="J690" t="s">
        <v>148</v>
      </c>
      <c r="K690" t="s">
        <v>148</v>
      </c>
      <c r="L690">
        <v>8</v>
      </c>
      <c r="M690" t="s">
        <v>149</v>
      </c>
      <c r="N690">
        <v>2</v>
      </c>
      <c r="O690">
        <v>2.7</v>
      </c>
      <c r="P690">
        <v>3</v>
      </c>
      <c r="Q690">
        <v>1050</v>
      </c>
      <c r="R690">
        <v>0.12393762</v>
      </c>
      <c r="S690" t="s">
        <v>150</v>
      </c>
      <c r="T690">
        <v>21</v>
      </c>
      <c r="U690">
        <v>1</v>
      </c>
      <c r="V690">
        <v>21</v>
      </c>
      <c r="W690">
        <v>0</v>
      </c>
      <c r="X690" t="s">
        <v>149</v>
      </c>
      <c r="Y690" t="s">
        <v>157</v>
      </c>
    </row>
    <row r="691" spans="1:25">
      <c r="A691" t="s">
        <v>872</v>
      </c>
      <c r="B691" s="113">
        <v>44638</v>
      </c>
      <c r="C691" t="s">
        <v>162</v>
      </c>
      <c r="D691" t="s">
        <v>187</v>
      </c>
      <c r="E691">
        <v>44</v>
      </c>
      <c r="F691">
        <v>570</v>
      </c>
      <c r="G691" t="s">
        <v>176</v>
      </c>
      <c r="H691">
        <v>30255.660510000002</v>
      </c>
      <c r="I691">
        <v>30255.660510000002</v>
      </c>
      <c r="J691" t="s">
        <v>156</v>
      </c>
      <c r="K691" t="s">
        <v>156</v>
      </c>
      <c r="L691">
        <v>4.4000000000000004</v>
      </c>
      <c r="M691" t="s">
        <v>149</v>
      </c>
      <c r="N691">
        <v>2</v>
      </c>
      <c r="O691">
        <v>1.6</v>
      </c>
      <c r="P691">
        <v>2</v>
      </c>
      <c r="Q691">
        <v>1200</v>
      </c>
      <c r="R691">
        <v>0.28044446499999998</v>
      </c>
      <c r="S691" t="s">
        <v>198</v>
      </c>
      <c r="Y691" t="s">
        <v>199</v>
      </c>
    </row>
    <row r="692" spans="1:25">
      <c r="A692" t="s">
        <v>873</v>
      </c>
      <c r="B692" s="113">
        <v>44641</v>
      </c>
      <c r="C692" t="s">
        <v>145</v>
      </c>
      <c r="D692" t="s">
        <v>213</v>
      </c>
      <c r="E692">
        <v>40</v>
      </c>
      <c r="F692">
        <v>530</v>
      </c>
      <c r="G692" t="s">
        <v>169</v>
      </c>
      <c r="H692">
        <v>3237179</v>
      </c>
      <c r="I692">
        <v>3237179</v>
      </c>
      <c r="J692" t="s">
        <v>221</v>
      </c>
      <c r="K692" t="s">
        <v>221</v>
      </c>
      <c r="L692">
        <v>8.6</v>
      </c>
      <c r="M692" t="s">
        <v>149</v>
      </c>
      <c r="N692">
        <v>2</v>
      </c>
      <c r="O692">
        <v>3.7</v>
      </c>
      <c r="P692">
        <v>3</v>
      </c>
      <c r="Q692">
        <v>0</v>
      </c>
      <c r="R692">
        <v>0.42978723400000002</v>
      </c>
      <c r="S692" t="s">
        <v>198</v>
      </c>
      <c r="T692">
        <v>0</v>
      </c>
      <c r="U692">
        <v>0</v>
      </c>
      <c r="V692">
        <v>0</v>
      </c>
      <c r="W692">
        <v>0</v>
      </c>
      <c r="X692" t="s">
        <v>151</v>
      </c>
      <c r="Y692" t="s">
        <v>199</v>
      </c>
    </row>
    <row r="693" spans="1:25">
      <c r="A693" t="s">
        <v>874</v>
      </c>
      <c r="B693" s="113">
        <v>44643</v>
      </c>
      <c r="C693" t="s">
        <v>162</v>
      </c>
      <c r="D693" t="s">
        <v>163</v>
      </c>
      <c r="E693">
        <v>37</v>
      </c>
      <c r="F693">
        <v>613</v>
      </c>
      <c r="G693" t="s">
        <v>147</v>
      </c>
      <c r="H693">
        <v>124100.20699999999</v>
      </c>
      <c r="J693" t="s">
        <v>148</v>
      </c>
      <c r="K693" t="s">
        <v>148</v>
      </c>
      <c r="L693">
        <v>0.1</v>
      </c>
      <c r="M693" t="s">
        <v>149</v>
      </c>
      <c r="N693">
        <v>4</v>
      </c>
      <c r="O693">
        <v>4.5999999999999996</v>
      </c>
      <c r="P693">
        <v>1</v>
      </c>
      <c r="Q693">
        <v>1200</v>
      </c>
      <c r="R693">
        <v>0.56815090300000004</v>
      </c>
      <c r="S693" t="s">
        <v>150</v>
      </c>
      <c r="T693">
        <v>16</v>
      </c>
      <c r="U693">
        <v>0</v>
      </c>
      <c r="V693">
        <v>16</v>
      </c>
      <c r="W693">
        <v>0</v>
      </c>
      <c r="X693" t="s">
        <v>151</v>
      </c>
      <c r="Y693" t="s">
        <v>152</v>
      </c>
    </row>
    <row r="694" spans="1:25">
      <c r="A694" t="s">
        <v>875</v>
      </c>
      <c r="B694" s="113">
        <v>44644</v>
      </c>
      <c r="C694" t="s">
        <v>159</v>
      </c>
      <c r="D694" t="s">
        <v>165</v>
      </c>
      <c r="E694">
        <v>28</v>
      </c>
      <c r="F694">
        <v>717</v>
      </c>
      <c r="G694" t="s">
        <v>155</v>
      </c>
      <c r="H694">
        <v>81385.889160000006</v>
      </c>
      <c r="I694">
        <v>81385.889160000006</v>
      </c>
      <c r="J694" t="s">
        <v>148</v>
      </c>
      <c r="K694" t="s">
        <v>148</v>
      </c>
      <c r="L694">
        <v>5.2</v>
      </c>
      <c r="M694" t="s">
        <v>149</v>
      </c>
      <c r="N694">
        <v>3</v>
      </c>
      <c r="O694">
        <v>4.3</v>
      </c>
      <c r="P694">
        <v>2</v>
      </c>
      <c r="Q694">
        <v>950</v>
      </c>
      <c r="R694">
        <v>0.69200090999999997</v>
      </c>
      <c r="S694" t="s">
        <v>150</v>
      </c>
      <c r="T694">
        <v>10</v>
      </c>
      <c r="U694">
        <v>0</v>
      </c>
      <c r="V694">
        <v>10</v>
      </c>
      <c r="W694">
        <v>0</v>
      </c>
      <c r="X694" t="s">
        <v>151</v>
      </c>
      <c r="Y694" t="s">
        <v>152</v>
      </c>
    </row>
    <row r="695" spans="1:25">
      <c r="A695" t="s">
        <v>876</v>
      </c>
      <c r="B695" s="113">
        <v>44644</v>
      </c>
      <c r="C695" t="s">
        <v>162</v>
      </c>
      <c r="D695" t="s">
        <v>179</v>
      </c>
      <c r="E695">
        <v>42</v>
      </c>
      <c r="F695">
        <v>769</v>
      </c>
      <c r="G695" t="s">
        <v>155</v>
      </c>
      <c r="H695">
        <v>96790.494439999995</v>
      </c>
      <c r="I695">
        <v>96790.494439999995</v>
      </c>
      <c r="J695" t="s">
        <v>148</v>
      </c>
      <c r="K695" t="s">
        <v>148</v>
      </c>
      <c r="L695">
        <v>7.2</v>
      </c>
      <c r="M695" t="s">
        <v>149</v>
      </c>
      <c r="N695">
        <v>3</v>
      </c>
      <c r="O695">
        <v>6.6</v>
      </c>
      <c r="P695">
        <v>2</v>
      </c>
      <c r="Q695">
        <v>1050</v>
      </c>
      <c r="R695">
        <v>0.79817345500000003</v>
      </c>
      <c r="S695" t="s">
        <v>150</v>
      </c>
      <c r="T695">
        <v>20</v>
      </c>
      <c r="U695">
        <v>0</v>
      </c>
      <c r="V695">
        <v>20</v>
      </c>
      <c r="W695">
        <v>0</v>
      </c>
      <c r="X695" t="s">
        <v>151</v>
      </c>
      <c r="Y695" t="s">
        <v>152</v>
      </c>
    </row>
    <row r="696" spans="1:25">
      <c r="A696" t="s">
        <v>877</v>
      </c>
      <c r="B696" s="113">
        <v>44645</v>
      </c>
      <c r="C696" t="s">
        <v>159</v>
      </c>
      <c r="D696" t="s">
        <v>160</v>
      </c>
      <c r="E696">
        <v>41</v>
      </c>
      <c r="F696">
        <v>715</v>
      </c>
      <c r="G696" t="s">
        <v>155</v>
      </c>
      <c r="H696">
        <v>34645.905899999998</v>
      </c>
      <c r="I696">
        <v>34645.905899999998</v>
      </c>
      <c r="J696" t="s">
        <v>183</v>
      </c>
      <c r="K696" t="s">
        <v>183</v>
      </c>
      <c r="L696">
        <v>1.4</v>
      </c>
      <c r="M696" t="s">
        <v>149</v>
      </c>
      <c r="N696">
        <v>2</v>
      </c>
      <c r="O696">
        <v>3.7</v>
      </c>
      <c r="P696">
        <v>2</v>
      </c>
      <c r="Q696">
        <v>1300</v>
      </c>
      <c r="R696">
        <v>0.88395631200000002</v>
      </c>
      <c r="S696" t="s">
        <v>198</v>
      </c>
      <c r="Y696" t="s">
        <v>199</v>
      </c>
    </row>
    <row r="697" spans="1:25">
      <c r="A697" t="s">
        <v>878</v>
      </c>
      <c r="B697" s="113">
        <v>44646</v>
      </c>
      <c r="C697" t="s">
        <v>145</v>
      </c>
      <c r="D697" t="s">
        <v>213</v>
      </c>
      <c r="E697">
        <v>59</v>
      </c>
      <c r="F697">
        <v>787</v>
      </c>
      <c r="G697" t="s">
        <v>176</v>
      </c>
      <c r="H697">
        <v>114654.1826</v>
      </c>
      <c r="I697">
        <v>114654.1826</v>
      </c>
      <c r="J697" t="s">
        <v>156</v>
      </c>
      <c r="K697" t="s">
        <v>156</v>
      </c>
      <c r="L697">
        <v>1.9</v>
      </c>
      <c r="M697" t="s">
        <v>149</v>
      </c>
      <c r="N697">
        <v>3</v>
      </c>
      <c r="O697">
        <v>0.2</v>
      </c>
      <c r="P697">
        <v>2</v>
      </c>
      <c r="Q697">
        <v>1200</v>
      </c>
      <c r="R697">
        <v>0.94715812300000002</v>
      </c>
      <c r="S697" t="s">
        <v>150</v>
      </c>
      <c r="T697">
        <v>17</v>
      </c>
      <c r="U697">
        <v>0</v>
      </c>
      <c r="V697">
        <v>17</v>
      </c>
      <c r="W697">
        <v>0</v>
      </c>
      <c r="X697" t="s">
        <v>149</v>
      </c>
      <c r="Y697" t="s">
        <v>157</v>
      </c>
    </row>
    <row r="698" spans="1:25">
      <c r="A698" t="s">
        <v>879</v>
      </c>
      <c r="B698" s="113">
        <v>44646</v>
      </c>
      <c r="C698" t="s">
        <v>159</v>
      </c>
      <c r="D698" t="s">
        <v>209</v>
      </c>
      <c r="E698">
        <v>43</v>
      </c>
      <c r="F698">
        <v>775</v>
      </c>
      <c r="G698" t="s">
        <v>169</v>
      </c>
      <c r="H698">
        <v>24177.31799</v>
      </c>
      <c r="I698">
        <v>24177.31799</v>
      </c>
      <c r="J698" t="s">
        <v>148</v>
      </c>
      <c r="K698" t="s">
        <v>148</v>
      </c>
      <c r="L698">
        <v>10.5</v>
      </c>
      <c r="M698" t="s">
        <v>149</v>
      </c>
      <c r="N698">
        <v>4</v>
      </c>
      <c r="O698">
        <v>0.6</v>
      </c>
      <c r="P698">
        <v>3</v>
      </c>
      <c r="Q698">
        <v>1450</v>
      </c>
      <c r="R698">
        <v>0.98616436900000004</v>
      </c>
      <c r="S698" t="s">
        <v>150</v>
      </c>
      <c r="T698">
        <v>14</v>
      </c>
      <c r="U698">
        <v>1</v>
      </c>
      <c r="V698">
        <v>14</v>
      </c>
      <c r="W698">
        <v>0</v>
      </c>
      <c r="X698" t="s">
        <v>149</v>
      </c>
      <c r="Y698" t="s">
        <v>157</v>
      </c>
    </row>
    <row r="699" spans="1:25">
      <c r="A699" t="s">
        <v>880</v>
      </c>
      <c r="B699" s="113">
        <v>44648</v>
      </c>
      <c r="C699" t="s">
        <v>162</v>
      </c>
      <c r="D699" t="s">
        <v>190</v>
      </c>
      <c r="E699">
        <v>45</v>
      </c>
      <c r="F699">
        <v>797</v>
      </c>
      <c r="G699" t="s">
        <v>155</v>
      </c>
      <c r="H699">
        <v>19488.034299999999</v>
      </c>
      <c r="I699">
        <v>19488.034299999999</v>
      </c>
      <c r="J699" t="s">
        <v>148</v>
      </c>
      <c r="K699" t="s">
        <v>148</v>
      </c>
      <c r="L699">
        <v>3.8</v>
      </c>
      <c r="M699" t="s">
        <v>149</v>
      </c>
      <c r="N699">
        <v>3</v>
      </c>
      <c r="O699">
        <v>1</v>
      </c>
      <c r="P699">
        <v>3</v>
      </c>
      <c r="Q699">
        <v>2000</v>
      </c>
      <c r="R699">
        <v>0.99997861899999996</v>
      </c>
      <c r="S699" t="s">
        <v>198</v>
      </c>
      <c r="Y699" t="s">
        <v>199</v>
      </c>
    </row>
    <row r="700" spans="1:25">
      <c r="A700" t="s">
        <v>881</v>
      </c>
      <c r="B700" s="113">
        <v>44651</v>
      </c>
      <c r="C700" t="s">
        <v>162</v>
      </c>
      <c r="D700" t="s">
        <v>163</v>
      </c>
      <c r="E700">
        <v>28</v>
      </c>
      <c r="F700">
        <v>724</v>
      </c>
      <c r="G700" t="s">
        <v>147</v>
      </c>
      <c r="H700">
        <v>29582.441019999998</v>
      </c>
      <c r="I700">
        <v>29582.441019999998</v>
      </c>
      <c r="J700" t="s">
        <v>148</v>
      </c>
      <c r="K700" t="s">
        <v>166</v>
      </c>
      <c r="L700">
        <v>0.9</v>
      </c>
      <c r="M700" t="s">
        <v>149</v>
      </c>
      <c r="N700">
        <v>2</v>
      </c>
      <c r="O700">
        <v>1.1000000000000001</v>
      </c>
      <c r="P700">
        <v>3</v>
      </c>
      <c r="Q700">
        <v>900</v>
      </c>
      <c r="R700">
        <v>0.98824798300000005</v>
      </c>
      <c r="S700" t="s">
        <v>150</v>
      </c>
      <c r="T700">
        <v>17</v>
      </c>
      <c r="U700">
        <v>0</v>
      </c>
      <c r="V700">
        <v>17</v>
      </c>
      <c r="W700">
        <v>0</v>
      </c>
      <c r="X700" t="s">
        <v>151</v>
      </c>
      <c r="Y700" t="s">
        <v>152</v>
      </c>
    </row>
    <row r="701" spans="1:25">
      <c r="A701" t="s">
        <v>882</v>
      </c>
      <c r="B701" s="113">
        <v>44651</v>
      </c>
      <c r="C701" t="s">
        <v>159</v>
      </c>
      <c r="D701" t="s">
        <v>209</v>
      </c>
      <c r="E701">
        <v>54</v>
      </c>
      <c r="F701">
        <v>720</v>
      </c>
      <c r="G701" t="s">
        <v>176</v>
      </c>
      <c r="H701">
        <v>36221.34562</v>
      </c>
      <c r="J701" t="s">
        <v>148</v>
      </c>
      <c r="K701" t="s">
        <v>148</v>
      </c>
      <c r="L701">
        <v>1.8</v>
      </c>
      <c r="M701" t="s">
        <v>149</v>
      </c>
      <c r="N701">
        <v>3</v>
      </c>
      <c r="O701">
        <v>1.8</v>
      </c>
      <c r="P701">
        <v>3</v>
      </c>
      <c r="Q701">
        <v>1100</v>
      </c>
      <c r="R701">
        <v>0.95127212299999997</v>
      </c>
      <c r="S701" t="s">
        <v>150</v>
      </c>
      <c r="T701">
        <v>15</v>
      </c>
      <c r="U701">
        <v>1</v>
      </c>
      <c r="V701">
        <v>15</v>
      </c>
      <c r="W701">
        <v>0</v>
      </c>
      <c r="X701" t="s">
        <v>149</v>
      </c>
      <c r="Y701" t="s">
        <v>157</v>
      </c>
    </row>
    <row r="702" spans="1:25">
      <c r="A702" t="s">
        <v>883</v>
      </c>
      <c r="B702" s="113">
        <v>44651</v>
      </c>
      <c r="C702" t="s">
        <v>159</v>
      </c>
      <c r="D702" t="s">
        <v>209</v>
      </c>
      <c r="E702">
        <v>37</v>
      </c>
      <c r="F702">
        <v>713</v>
      </c>
      <c r="G702" t="s">
        <v>147</v>
      </c>
      <c r="H702">
        <v>45387.078889999997</v>
      </c>
      <c r="I702">
        <v>45387.078889999997</v>
      </c>
      <c r="J702" t="s">
        <v>148</v>
      </c>
      <c r="K702" t="s">
        <v>148</v>
      </c>
      <c r="L702">
        <v>0.9</v>
      </c>
      <c r="M702" t="s">
        <v>149</v>
      </c>
      <c r="N702">
        <v>4</v>
      </c>
      <c r="O702">
        <v>3.4</v>
      </c>
      <c r="P702">
        <v>3</v>
      </c>
      <c r="Q702">
        <v>1650</v>
      </c>
      <c r="R702">
        <v>0.889995604</v>
      </c>
      <c r="S702" t="s">
        <v>150</v>
      </c>
      <c r="T702">
        <v>13</v>
      </c>
      <c r="U702">
        <v>0</v>
      </c>
      <c r="V702">
        <v>13</v>
      </c>
      <c r="W702">
        <v>1</v>
      </c>
      <c r="X702" t="s">
        <v>149</v>
      </c>
      <c r="Y702" t="s">
        <v>157</v>
      </c>
    </row>
    <row r="703" spans="1:25">
      <c r="A703" t="s">
        <v>884</v>
      </c>
      <c r="B703" s="113">
        <v>44658</v>
      </c>
      <c r="C703" t="s">
        <v>159</v>
      </c>
      <c r="D703" t="s">
        <v>168</v>
      </c>
      <c r="E703">
        <v>35</v>
      </c>
      <c r="F703">
        <v>747</v>
      </c>
      <c r="G703" t="s">
        <v>155</v>
      </c>
      <c r="H703">
        <v>62496.480029999999</v>
      </c>
      <c r="I703">
        <v>62496.480029999999</v>
      </c>
      <c r="J703" t="s">
        <v>148</v>
      </c>
      <c r="K703" t="s">
        <v>148</v>
      </c>
      <c r="L703">
        <v>1</v>
      </c>
      <c r="M703" t="s">
        <v>149</v>
      </c>
      <c r="N703">
        <v>1</v>
      </c>
      <c r="O703">
        <v>5</v>
      </c>
      <c r="P703">
        <v>2</v>
      </c>
      <c r="Q703">
        <v>1200</v>
      </c>
      <c r="R703">
        <v>0.80598376299999996</v>
      </c>
      <c r="S703" t="s">
        <v>150</v>
      </c>
      <c r="T703">
        <v>18</v>
      </c>
      <c r="U703">
        <v>1</v>
      </c>
      <c r="V703">
        <v>18</v>
      </c>
      <c r="W703">
        <v>0</v>
      </c>
      <c r="X703" t="s">
        <v>149</v>
      </c>
      <c r="Y703" t="s">
        <v>157</v>
      </c>
    </row>
    <row r="704" spans="1:25">
      <c r="A704" t="s">
        <v>885</v>
      </c>
      <c r="B704" s="113">
        <v>44661</v>
      </c>
      <c r="C704" t="s">
        <v>145</v>
      </c>
      <c r="D704" t="s">
        <v>213</v>
      </c>
      <c r="E704">
        <v>50</v>
      </c>
      <c r="F704">
        <v>650</v>
      </c>
      <c r="G704" t="s">
        <v>147</v>
      </c>
      <c r="H704">
        <v>315536.81550000003</v>
      </c>
      <c r="I704">
        <v>315536.81550000003</v>
      </c>
      <c r="J704" t="s">
        <v>148</v>
      </c>
      <c r="K704" t="s">
        <v>148</v>
      </c>
      <c r="L704">
        <v>27</v>
      </c>
      <c r="M704" t="s">
        <v>149</v>
      </c>
      <c r="N704">
        <v>4</v>
      </c>
      <c r="O704">
        <v>6.5</v>
      </c>
      <c r="P704">
        <v>4</v>
      </c>
      <c r="Q704">
        <v>1200</v>
      </c>
      <c r="R704">
        <v>0.70138271699999999</v>
      </c>
      <c r="S704" t="s">
        <v>150</v>
      </c>
      <c r="T704">
        <v>6</v>
      </c>
      <c r="U704">
        <v>0</v>
      </c>
      <c r="V704">
        <v>6</v>
      </c>
      <c r="W704">
        <v>0</v>
      </c>
      <c r="X704" t="s">
        <v>151</v>
      </c>
      <c r="Y704" t="s">
        <v>152</v>
      </c>
    </row>
    <row r="705" spans="1:25">
      <c r="A705" t="s">
        <v>886</v>
      </c>
      <c r="B705" s="113">
        <v>44662</v>
      </c>
      <c r="C705" t="s">
        <v>162</v>
      </c>
      <c r="D705" t="s">
        <v>190</v>
      </c>
      <c r="E705">
        <v>25</v>
      </c>
      <c r="F705">
        <v>649</v>
      </c>
      <c r="G705" t="s">
        <v>176</v>
      </c>
      <c r="H705">
        <v>92264.841469999999</v>
      </c>
      <c r="I705">
        <v>92264.841469999999</v>
      </c>
      <c r="J705" t="s">
        <v>148</v>
      </c>
      <c r="K705" t="s">
        <v>148</v>
      </c>
      <c r="L705">
        <v>22</v>
      </c>
      <c r="M705" t="s">
        <v>149</v>
      </c>
      <c r="N705">
        <v>2</v>
      </c>
      <c r="O705">
        <v>0.6</v>
      </c>
      <c r="P705">
        <v>2</v>
      </c>
      <c r="Q705">
        <v>1800</v>
      </c>
      <c r="R705">
        <v>0.57886454499999995</v>
      </c>
      <c r="S705" t="s">
        <v>150</v>
      </c>
      <c r="T705">
        <v>13</v>
      </c>
      <c r="U705">
        <v>0</v>
      </c>
      <c r="V705">
        <v>13</v>
      </c>
      <c r="W705">
        <v>0</v>
      </c>
      <c r="X705" t="s">
        <v>149</v>
      </c>
      <c r="Y705" t="s">
        <v>157</v>
      </c>
    </row>
    <row r="706" spans="1:25">
      <c r="A706" t="s">
        <v>887</v>
      </c>
      <c r="B706" s="113">
        <v>44666</v>
      </c>
      <c r="C706" t="s">
        <v>159</v>
      </c>
      <c r="D706" t="s">
        <v>160</v>
      </c>
      <c r="E706">
        <v>32</v>
      </c>
      <c r="F706">
        <v>594</v>
      </c>
      <c r="G706" t="s">
        <v>176</v>
      </c>
      <c r="H706">
        <v>46635.527719999998</v>
      </c>
      <c r="I706">
        <v>46635.527719999998</v>
      </c>
      <c r="J706" t="s">
        <v>183</v>
      </c>
      <c r="K706" t="s">
        <v>183</v>
      </c>
      <c r="L706">
        <v>5.5</v>
      </c>
      <c r="M706" t="s">
        <v>149</v>
      </c>
      <c r="N706">
        <v>4</v>
      </c>
      <c r="O706">
        <v>2.8</v>
      </c>
      <c r="P706">
        <v>3</v>
      </c>
      <c r="Q706">
        <v>1250</v>
      </c>
      <c r="R706">
        <v>0.44155902800000002</v>
      </c>
      <c r="S706" t="s">
        <v>150</v>
      </c>
      <c r="T706">
        <v>19</v>
      </c>
      <c r="U706">
        <v>1</v>
      </c>
      <c r="V706">
        <v>19</v>
      </c>
      <c r="W706">
        <v>0</v>
      </c>
      <c r="X706" t="s">
        <v>149</v>
      </c>
      <c r="Y706" t="s">
        <v>157</v>
      </c>
    </row>
    <row r="707" spans="1:25">
      <c r="A707" t="s">
        <v>888</v>
      </c>
      <c r="B707" s="113">
        <v>44667</v>
      </c>
      <c r="C707" t="s">
        <v>145</v>
      </c>
      <c r="D707" t="s">
        <v>280</v>
      </c>
      <c r="E707">
        <v>59</v>
      </c>
      <c r="F707">
        <v>754</v>
      </c>
      <c r="G707" t="s">
        <v>169</v>
      </c>
      <c r="H707">
        <v>13311.216249999999</v>
      </c>
      <c r="I707">
        <v>13311.216249999999</v>
      </c>
      <c r="J707" t="s">
        <v>148</v>
      </c>
      <c r="K707" t="s">
        <v>148</v>
      </c>
      <c r="L707">
        <v>1.4</v>
      </c>
      <c r="M707" t="s">
        <v>149</v>
      </c>
      <c r="N707">
        <v>3</v>
      </c>
      <c r="O707">
        <v>0.5</v>
      </c>
      <c r="P707">
        <v>3</v>
      </c>
      <c r="Q707">
        <v>1250</v>
      </c>
      <c r="R707">
        <v>0.29297369499999998</v>
      </c>
      <c r="S707" t="s">
        <v>198</v>
      </c>
      <c r="Y707" t="s">
        <v>199</v>
      </c>
    </row>
    <row r="708" spans="1:25">
      <c r="A708" t="s">
        <v>889</v>
      </c>
      <c r="B708" s="113">
        <v>44668</v>
      </c>
      <c r="C708" t="s">
        <v>162</v>
      </c>
      <c r="D708" t="s">
        <v>190</v>
      </c>
      <c r="E708">
        <v>30</v>
      </c>
      <c r="F708">
        <v>810</v>
      </c>
      <c r="G708" t="s">
        <v>147</v>
      </c>
      <c r="H708">
        <v>13958.056210000001</v>
      </c>
      <c r="I708">
        <v>13958.056210000001</v>
      </c>
      <c r="J708" t="s">
        <v>148</v>
      </c>
      <c r="K708" t="s">
        <v>148</v>
      </c>
      <c r="L708">
        <v>4.2</v>
      </c>
      <c r="M708" t="s">
        <v>149</v>
      </c>
      <c r="N708">
        <v>8</v>
      </c>
      <c r="O708">
        <v>7.9</v>
      </c>
      <c r="P708">
        <v>1</v>
      </c>
      <c r="Q708">
        <v>1350</v>
      </c>
      <c r="R708">
        <v>0.13690422099999999</v>
      </c>
      <c r="S708" t="s">
        <v>198</v>
      </c>
      <c r="Y708" t="s">
        <v>199</v>
      </c>
    </row>
    <row r="709" spans="1:25">
      <c r="A709" t="s">
        <v>890</v>
      </c>
      <c r="B709" s="113">
        <v>44671</v>
      </c>
      <c r="C709" t="s">
        <v>162</v>
      </c>
      <c r="D709" t="s">
        <v>179</v>
      </c>
      <c r="E709">
        <v>30</v>
      </c>
      <c r="F709">
        <v>799</v>
      </c>
      <c r="G709" t="s">
        <v>147</v>
      </c>
      <c r="H709">
        <v>100433.51029999999</v>
      </c>
      <c r="I709">
        <v>100433.51029999999</v>
      </c>
      <c r="J709" t="s">
        <v>148</v>
      </c>
      <c r="K709" t="s">
        <v>148</v>
      </c>
      <c r="L709">
        <v>5.3</v>
      </c>
      <c r="M709" t="s">
        <v>149</v>
      </c>
      <c r="N709">
        <v>5</v>
      </c>
      <c r="O709">
        <v>1.6</v>
      </c>
      <c r="P709">
        <v>4</v>
      </c>
      <c r="Q709">
        <v>900</v>
      </c>
      <c r="R709">
        <v>2.266253E-2</v>
      </c>
      <c r="S709" t="s">
        <v>150</v>
      </c>
      <c r="T709">
        <v>20</v>
      </c>
      <c r="U709">
        <v>0</v>
      </c>
      <c r="V709">
        <v>20</v>
      </c>
      <c r="W709">
        <v>0</v>
      </c>
      <c r="X709" t="s">
        <v>149</v>
      </c>
      <c r="Y709" t="s">
        <v>157</v>
      </c>
    </row>
    <row r="710" spans="1:25">
      <c r="A710" t="s">
        <v>891</v>
      </c>
      <c r="B710" s="113">
        <v>44673</v>
      </c>
      <c r="C710" t="s">
        <v>159</v>
      </c>
      <c r="D710" t="s">
        <v>165</v>
      </c>
      <c r="E710">
        <v>33</v>
      </c>
      <c r="F710">
        <v>481</v>
      </c>
      <c r="G710" t="s">
        <v>169</v>
      </c>
      <c r="H710">
        <v>87739.672789999997</v>
      </c>
      <c r="I710">
        <v>87739.672789999997</v>
      </c>
      <c r="J710" t="s">
        <v>170</v>
      </c>
      <c r="K710" t="s">
        <v>170</v>
      </c>
      <c r="L710">
        <v>1.6</v>
      </c>
      <c r="M710" t="s">
        <v>149</v>
      </c>
      <c r="N710">
        <v>2</v>
      </c>
      <c r="O710">
        <v>4.8</v>
      </c>
      <c r="P710">
        <v>2</v>
      </c>
      <c r="Q710">
        <v>1150</v>
      </c>
      <c r="R710">
        <v>0.18165035800000001</v>
      </c>
      <c r="S710" t="s">
        <v>150</v>
      </c>
      <c r="T710">
        <v>12</v>
      </c>
      <c r="U710">
        <v>0</v>
      </c>
      <c r="V710">
        <v>12</v>
      </c>
      <c r="W710">
        <v>0</v>
      </c>
      <c r="X710" t="s">
        <v>149</v>
      </c>
      <c r="Y710" t="s">
        <v>157</v>
      </c>
    </row>
    <row r="711" spans="1:25">
      <c r="A711" t="s">
        <v>892</v>
      </c>
      <c r="B711" s="113">
        <v>44674</v>
      </c>
      <c r="C711" t="s">
        <v>162</v>
      </c>
      <c r="D711" t="s">
        <v>179</v>
      </c>
      <c r="E711">
        <v>47</v>
      </c>
      <c r="F711">
        <v>765</v>
      </c>
      <c r="G711" t="s">
        <v>147</v>
      </c>
      <c r="H711">
        <v>40513.848980000002</v>
      </c>
      <c r="I711">
        <v>40513.848980000002</v>
      </c>
      <c r="J711" t="s">
        <v>148</v>
      </c>
      <c r="K711" t="s">
        <v>148</v>
      </c>
      <c r="L711">
        <v>3.7</v>
      </c>
      <c r="M711" t="s">
        <v>149</v>
      </c>
      <c r="N711">
        <v>4</v>
      </c>
      <c r="O711">
        <v>4.9000000000000004</v>
      </c>
      <c r="P711">
        <v>3</v>
      </c>
      <c r="Q711">
        <v>800</v>
      </c>
      <c r="R711">
        <v>0.33599784799999999</v>
      </c>
      <c r="S711" t="s">
        <v>150</v>
      </c>
      <c r="T711">
        <v>14</v>
      </c>
      <c r="U711">
        <v>0</v>
      </c>
      <c r="V711">
        <v>14</v>
      </c>
      <c r="W711">
        <v>0</v>
      </c>
      <c r="X711" t="s">
        <v>149</v>
      </c>
      <c r="Y711" t="s">
        <v>157</v>
      </c>
    </row>
    <row r="712" spans="1:25">
      <c r="A712" t="s">
        <v>893</v>
      </c>
      <c r="B712" s="113">
        <v>44674</v>
      </c>
      <c r="C712" t="s">
        <v>145</v>
      </c>
      <c r="D712" t="s">
        <v>280</v>
      </c>
      <c r="E712">
        <v>43</v>
      </c>
      <c r="F712">
        <v>792</v>
      </c>
      <c r="G712" t="s">
        <v>155</v>
      </c>
      <c r="H712">
        <v>88834.562709999998</v>
      </c>
      <c r="I712">
        <v>88834.562709999998</v>
      </c>
      <c r="J712" t="s">
        <v>148</v>
      </c>
      <c r="K712" t="s">
        <v>148</v>
      </c>
      <c r="L712">
        <v>2.1</v>
      </c>
      <c r="M712" t="s">
        <v>151</v>
      </c>
      <c r="N712">
        <v>3</v>
      </c>
      <c r="O712">
        <v>2.7</v>
      </c>
      <c r="P712">
        <v>2</v>
      </c>
      <c r="Q712">
        <v>2000</v>
      </c>
      <c r="R712">
        <v>0.48176212699999998</v>
      </c>
      <c r="S712" t="s">
        <v>198</v>
      </c>
      <c r="Y712" t="s">
        <v>199</v>
      </c>
    </row>
    <row r="713" spans="1:25">
      <c r="A713" t="s">
        <v>894</v>
      </c>
      <c r="B713" s="113">
        <v>44675</v>
      </c>
      <c r="C713" t="s">
        <v>145</v>
      </c>
      <c r="D713" t="s">
        <v>154</v>
      </c>
      <c r="E713">
        <v>37</v>
      </c>
      <c r="F713">
        <v>779</v>
      </c>
      <c r="G713" t="s">
        <v>147</v>
      </c>
      <c r="H713">
        <v>43166.95895</v>
      </c>
      <c r="J713" t="s">
        <v>148</v>
      </c>
      <c r="K713" t="s">
        <v>148</v>
      </c>
      <c r="L713">
        <v>4</v>
      </c>
      <c r="M713" t="s">
        <v>149</v>
      </c>
      <c r="N713">
        <v>0</v>
      </c>
      <c r="O713">
        <v>1</v>
      </c>
      <c r="P713">
        <v>2</v>
      </c>
      <c r="Q713">
        <v>1100</v>
      </c>
      <c r="R713">
        <v>0.61521958399999999</v>
      </c>
      <c r="S713" t="s">
        <v>150</v>
      </c>
      <c r="T713">
        <v>22</v>
      </c>
      <c r="U713">
        <v>0</v>
      </c>
      <c r="V713">
        <v>22</v>
      </c>
      <c r="W713">
        <v>0</v>
      </c>
      <c r="X713" t="s">
        <v>149</v>
      </c>
      <c r="Y713" t="s">
        <v>157</v>
      </c>
    </row>
    <row r="714" spans="1:25">
      <c r="A714" t="s">
        <v>895</v>
      </c>
      <c r="B714" s="113">
        <v>44677</v>
      </c>
      <c r="C714" t="s">
        <v>145</v>
      </c>
      <c r="D714" t="s">
        <v>280</v>
      </c>
      <c r="E714">
        <v>44</v>
      </c>
      <c r="F714">
        <v>739</v>
      </c>
      <c r="G714" t="s">
        <v>155</v>
      </c>
      <c r="H714">
        <v>21467.59333</v>
      </c>
      <c r="I714">
        <v>21467.59333</v>
      </c>
      <c r="J714" t="s">
        <v>148</v>
      </c>
      <c r="K714" t="s">
        <v>148</v>
      </c>
      <c r="L714">
        <v>1.4</v>
      </c>
      <c r="M714" t="s">
        <v>149</v>
      </c>
      <c r="N714">
        <v>2</v>
      </c>
      <c r="O714">
        <v>2.5</v>
      </c>
      <c r="P714">
        <v>1</v>
      </c>
      <c r="Q714">
        <v>1200</v>
      </c>
      <c r="R714">
        <v>0.73296099100000001</v>
      </c>
      <c r="S714" t="s">
        <v>198</v>
      </c>
      <c r="Y714" t="s">
        <v>199</v>
      </c>
    </row>
    <row r="715" spans="1:25">
      <c r="A715" t="s">
        <v>896</v>
      </c>
      <c r="B715" s="113">
        <v>44677</v>
      </c>
      <c r="C715" t="s">
        <v>162</v>
      </c>
      <c r="D715" t="s">
        <v>163</v>
      </c>
      <c r="E715">
        <v>51</v>
      </c>
      <c r="F715">
        <v>572</v>
      </c>
      <c r="G715" t="s">
        <v>147</v>
      </c>
      <c r="H715">
        <v>39653.344839999998</v>
      </c>
      <c r="I715">
        <v>39653.344839999998</v>
      </c>
      <c r="J715" t="s">
        <v>148</v>
      </c>
      <c r="K715" t="s">
        <v>148</v>
      </c>
      <c r="L715">
        <v>3.7</v>
      </c>
      <c r="M715" t="s">
        <v>149</v>
      </c>
      <c r="N715">
        <v>2</v>
      </c>
      <c r="O715">
        <v>19.899999999999999</v>
      </c>
      <c r="P715">
        <v>3</v>
      </c>
      <c r="Q715">
        <v>850</v>
      </c>
      <c r="R715">
        <v>0.83197859100000005</v>
      </c>
      <c r="S715" t="s">
        <v>150</v>
      </c>
      <c r="T715">
        <v>11</v>
      </c>
      <c r="U715">
        <v>0</v>
      </c>
      <c r="V715">
        <v>11</v>
      </c>
      <c r="W715">
        <v>0</v>
      </c>
      <c r="X715" t="s">
        <v>151</v>
      </c>
      <c r="Y715" t="s">
        <v>152</v>
      </c>
    </row>
    <row r="716" spans="1:25">
      <c r="A716" t="s">
        <v>897</v>
      </c>
      <c r="B716" s="113">
        <v>44679</v>
      </c>
      <c r="C716" t="s">
        <v>162</v>
      </c>
      <c r="D716" t="s">
        <v>195</v>
      </c>
      <c r="E716">
        <v>29</v>
      </c>
      <c r="F716">
        <v>505</v>
      </c>
      <c r="G716" t="s">
        <v>169</v>
      </c>
      <c r="H716">
        <v>291911.46529999998</v>
      </c>
      <c r="I716">
        <v>291911.46529999998</v>
      </c>
      <c r="J716" t="s">
        <v>148</v>
      </c>
      <c r="K716" t="s">
        <v>148</v>
      </c>
      <c r="L716">
        <v>8.1</v>
      </c>
      <c r="M716" t="s">
        <v>149</v>
      </c>
      <c r="N716">
        <v>2</v>
      </c>
      <c r="O716">
        <v>4.0999999999999996</v>
      </c>
      <c r="P716">
        <v>3</v>
      </c>
      <c r="Q716">
        <v>850</v>
      </c>
      <c r="R716">
        <v>0.90974293799999995</v>
      </c>
      <c r="S716" t="s">
        <v>150</v>
      </c>
      <c r="T716">
        <v>12</v>
      </c>
      <c r="U716">
        <v>0</v>
      </c>
      <c r="V716">
        <v>12</v>
      </c>
      <c r="W716">
        <v>0</v>
      </c>
      <c r="X716" t="s">
        <v>149</v>
      </c>
      <c r="Y716" t="s">
        <v>157</v>
      </c>
    </row>
    <row r="717" spans="1:25">
      <c r="A717" t="s">
        <v>898</v>
      </c>
      <c r="B717" s="113">
        <v>44681</v>
      </c>
      <c r="C717" t="s">
        <v>159</v>
      </c>
      <c r="D717" t="s">
        <v>165</v>
      </c>
      <c r="E717">
        <v>44</v>
      </c>
      <c r="F717">
        <v>614</v>
      </c>
      <c r="G717" t="s">
        <v>155</v>
      </c>
      <c r="H717">
        <v>56764.2048</v>
      </c>
      <c r="I717">
        <v>56764.2048</v>
      </c>
      <c r="J717" t="s">
        <v>148</v>
      </c>
      <c r="K717" t="s">
        <v>148</v>
      </c>
      <c r="L717">
        <v>0.8</v>
      </c>
      <c r="M717" t="s">
        <v>149</v>
      </c>
      <c r="N717">
        <v>6</v>
      </c>
      <c r="O717">
        <v>8.8000000000000007</v>
      </c>
      <c r="P717">
        <v>3</v>
      </c>
      <c r="Q717">
        <v>1050</v>
      </c>
      <c r="R717">
        <v>0.96426750699999997</v>
      </c>
      <c r="S717" t="s">
        <v>150</v>
      </c>
      <c r="T717">
        <v>16</v>
      </c>
      <c r="U717">
        <v>0</v>
      </c>
      <c r="V717">
        <v>16</v>
      </c>
      <c r="W717">
        <v>0</v>
      </c>
      <c r="X717" t="s">
        <v>149</v>
      </c>
      <c r="Y717" t="s">
        <v>157</v>
      </c>
    </row>
    <row r="718" spans="1:25">
      <c r="A718" t="s">
        <v>899</v>
      </c>
      <c r="B718" s="113">
        <v>44683</v>
      </c>
      <c r="C718" t="s">
        <v>162</v>
      </c>
      <c r="D718" t="s">
        <v>179</v>
      </c>
      <c r="E718">
        <v>63</v>
      </c>
      <c r="F718">
        <v>685</v>
      </c>
      <c r="G718" t="s">
        <v>155</v>
      </c>
      <c r="H718">
        <v>206765.783</v>
      </c>
      <c r="I718">
        <v>206765.783</v>
      </c>
      <c r="J718" t="s">
        <v>148</v>
      </c>
      <c r="K718" t="s">
        <v>148</v>
      </c>
      <c r="L718">
        <v>2.4</v>
      </c>
      <c r="M718" t="s">
        <v>149</v>
      </c>
      <c r="N718">
        <v>4</v>
      </c>
      <c r="O718">
        <v>8.5</v>
      </c>
      <c r="P718">
        <v>2</v>
      </c>
      <c r="Q718">
        <v>1000</v>
      </c>
      <c r="R718">
        <v>0.99415944499999997</v>
      </c>
      <c r="S718" t="s">
        <v>150</v>
      </c>
      <c r="T718">
        <v>22</v>
      </c>
      <c r="U718">
        <v>1</v>
      </c>
      <c r="V718">
        <v>22</v>
      </c>
      <c r="W718">
        <v>0</v>
      </c>
      <c r="X718" t="s">
        <v>149</v>
      </c>
      <c r="Y718" t="s">
        <v>157</v>
      </c>
    </row>
    <row r="719" spans="1:25">
      <c r="A719" t="s">
        <v>900</v>
      </c>
      <c r="B719" s="113">
        <v>44688</v>
      </c>
      <c r="C719" t="s">
        <v>145</v>
      </c>
      <c r="D719" t="s">
        <v>146</v>
      </c>
      <c r="E719">
        <v>50</v>
      </c>
      <c r="F719">
        <v>711</v>
      </c>
      <c r="G719" t="s">
        <v>169</v>
      </c>
      <c r="H719">
        <v>54964.260060000001</v>
      </c>
      <c r="J719" t="s">
        <v>148</v>
      </c>
      <c r="K719" t="s">
        <v>148</v>
      </c>
      <c r="L719">
        <v>1.9</v>
      </c>
      <c r="M719" t="s">
        <v>151</v>
      </c>
      <c r="N719">
        <v>3</v>
      </c>
      <c r="O719">
        <v>8.8000000000000007</v>
      </c>
      <c r="P719">
        <v>2</v>
      </c>
      <c r="Q719">
        <v>1350</v>
      </c>
      <c r="R719">
        <v>0.99865514899999996</v>
      </c>
      <c r="S719" t="s">
        <v>150</v>
      </c>
      <c r="T719">
        <v>15</v>
      </c>
      <c r="U719">
        <v>0</v>
      </c>
      <c r="V719">
        <v>15</v>
      </c>
      <c r="W719">
        <v>0</v>
      </c>
      <c r="X719" t="s">
        <v>149</v>
      </c>
      <c r="Y719" t="s">
        <v>157</v>
      </c>
    </row>
    <row r="720" spans="1:25">
      <c r="A720" t="s">
        <v>901</v>
      </c>
      <c r="B720" s="113">
        <v>44688</v>
      </c>
      <c r="C720" t="s">
        <v>159</v>
      </c>
      <c r="D720" t="s">
        <v>168</v>
      </c>
      <c r="E720">
        <v>69</v>
      </c>
      <c r="F720">
        <v>792</v>
      </c>
      <c r="G720" t="s">
        <v>169</v>
      </c>
      <c r="H720">
        <v>50509.13809</v>
      </c>
      <c r="J720" t="s">
        <v>148</v>
      </c>
      <c r="K720" t="s">
        <v>148</v>
      </c>
      <c r="L720">
        <v>8.9</v>
      </c>
      <c r="M720" t="s">
        <v>151</v>
      </c>
      <c r="N720">
        <v>2</v>
      </c>
      <c r="O720">
        <v>1.3</v>
      </c>
      <c r="P720">
        <v>3</v>
      </c>
      <c r="Q720">
        <v>1400</v>
      </c>
      <c r="R720">
        <v>0.97763977499999999</v>
      </c>
      <c r="S720" t="s">
        <v>150</v>
      </c>
      <c r="T720">
        <v>14</v>
      </c>
      <c r="U720">
        <v>0</v>
      </c>
      <c r="V720">
        <v>14</v>
      </c>
      <c r="W720">
        <v>0</v>
      </c>
      <c r="X720" t="s">
        <v>149</v>
      </c>
      <c r="Y720" t="s">
        <v>157</v>
      </c>
    </row>
    <row r="721" spans="1:25">
      <c r="A721" t="s">
        <v>902</v>
      </c>
      <c r="B721" s="113">
        <v>44689</v>
      </c>
      <c r="C721" t="s">
        <v>162</v>
      </c>
      <c r="D721" t="s">
        <v>193</v>
      </c>
      <c r="E721">
        <v>34</v>
      </c>
      <c r="F721">
        <v>688</v>
      </c>
      <c r="G721" t="s">
        <v>155</v>
      </c>
      <c r="H721">
        <v>48433.437870000002</v>
      </c>
      <c r="I721">
        <v>48433.437870000002</v>
      </c>
      <c r="J721" t="s">
        <v>249</v>
      </c>
      <c r="K721" t="s">
        <v>249</v>
      </c>
      <c r="L721">
        <v>5.3</v>
      </c>
      <c r="M721" t="s">
        <v>149</v>
      </c>
      <c r="N721">
        <v>2</v>
      </c>
      <c r="O721">
        <v>0.3</v>
      </c>
      <c r="P721">
        <v>3</v>
      </c>
      <c r="Q721">
        <v>800</v>
      </c>
      <c r="R721">
        <v>0.93165016899999997</v>
      </c>
      <c r="S721" t="s">
        <v>150</v>
      </c>
      <c r="T721">
        <v>16</v>
      </c>
      <c r="U721">
        <v>0</v>
      </c>
      <c r="V721">
        <v>16</v>
      </c>
      <c r="W721">
        <v>0</v>
      </c>
      <c r="X721" t="s">
        <v>149</v>
      </c>
      <c r="Y721" t="s">
        <v>157</v>
      </c>
    </row>
    <row r="722" spans="1:25">
      <c r="A722" t="s">
        <v>903</v>
      </c>
      <c r="B722" s="113">
        <v>44691</v>
      </c>
      <c r="C722" t="s">
        <v>159</v>
      </c>
      <c r="D722" t="s">
        <v>160</v>
      </c>
      <c r="E722">
        <v>32</v>
      </c>
      <c r="F722">
        <v>724</v>
      </c>
      <c r="G722" t="s">
        <v>147</v>
      </c>
      <c r="H722">
        <v>53166.991119999999</v>
      </c>
      <c r="I722">
        <v>53166.991119999999</v>
      </c>
      <c r="J722" t="s">
        <v>156</v>
      </c>
      <c r="K722" t="s">
        <v>166</v>
      </c>
      <c r="L722">
        <v>4.7</v>
      </c>
      <c r="M722" t="s">
        <v>149</v>
      </c>
      <c r="N722">
        <v>5</v>
      </c>
      <c r="O722">
        <v>4.9000000000000004</v>
      </c>
      <c r="P722">
        <v>0</v>
      </c>
      <c r="Q722">
        <v>1200</v>
      </c>
      <c r="R722">
        <v>0.86186115600000002</v>
      </c>
      <c r="S722" t="s">
        <v>150</v>
      </c>
      <c r="T722">
        <v>14</v>
      </c>
      <c r="U722">
        <v>0</v>
      </c>
      <c r="V722">
        <v>14</v>
      </c>
      <c r="W722">
        <v>0</v>
      </c>
      <c r="X722" t="s">
        <v>151</v>
      </c>
      <c r="Y722" t="s">
        <v>152</v>
      </c>
    </row>
    <row r="723" spans="1:25">
      <c r="A723" t="s">
        <v>904</v>
      </c>
      <c r="B723" s="113">
        <v>44692</v>
      </c>
      <c r="C723" t="s">
        <v>162</v>
      </c>
      <c r="D723" t="s">
        <v>195</v>
      </c>
      <c r="E723">
        <v>26</v>
      </c>
      <c r="F723">
        <v>776</v>
      </c>
      <c r="G723" t="s">
        <v>176</v>
      </c>
      <c r="H723">
        <v>83256.841010000004</v>
      </c>
      <c r="I723">
        <v>83256.841010000004</v>
      </c>
      <c r="J723" t="s">
        <v>183</v>
      </c>
      <c r="K723" t="s">
        <v>183</v>
      </c>
      <c r="L723">
        <v>1.4</v>
      </c>
      <c r="M723" t="s">
        <v>149</v>
      </c>
      <c r="N723">
        <v>0</v>
      </c>
      <c r="O723">
        <v>0.5</v>
      </c>
      <c r="P723">
        <v>2</v>
      </c>
      <c r="Q723">
        <v>1000</v>
      </c>
      <c r="R723">
        <v>0.77005552700000002</v>
      </c>
      <c r="S723" t="s">
        <v>150</v>
      </c>
      <c r="T723">
        <v>16</v>
      </c>
      <c r="U723">
        <v>0</v>
      </c>
      <c r="V723">
        <v>16</v>
      </c>
      <c r="W723">
        <v>0</v>
      </c>
      <c r="X723" t="s">
        <v>149</v>
      </c>
      <c r="Y723" t="s">
        <v>157</v>
      </c>
    </row>
    <row r="724" spans="1:25">
      <c r="A724" t="s">
        <v>905</v>
      </c>
      <c r="B724" s="113">
        <v>44692</v>
      </c>
      <c r="C724" t="s">
        <v>159</v>
      </c>
      <c r="D724" t="s">
        <v>209</v>
      </c>
      <c r="E724">
        <v>34</v>
      </c>
      <c r="F724">
        <v>687</v>
      </c>
      <c r="G724" t="s">
        <v>176</v>
      </c>
      <c r="H724">
        <v>18330.623930000002</v>
      </c>
      <c r="J724" t="s">
        <v>148</v>
      </c>
      <c r="K724" t="s">
        <v>148</v>
      </c>
      <c r="L724">
        <v>6</v>
      </c>
      <c r="M724" t="s">
        <v>149</v>
      </c>
      <c r="N724">
        <v>3</v>
      </c>
      <c r="O724">
        <v>0.2</v>
      </c>
      <c r="P724">
        <v>3</v>
      </c>
      <c r="Q724">
        <v>900</v>
      </c>
      <c r="R724">
        <v>0.65857849499999999</v>
      </c>
      <c r="S724" t="s">
        <v>150</v>
      </c>
      <c r="T724">
        <v>15</v>
      </c>
      <c r="U724">
        <v>1</v>
      </c>
      <c r="V724">
        <v>15</v>
      </c>
      <c r="W724">
        <v>0</v>
      </c>
      <c r="X724" t="s">
        <v>151</v>
      </c>
      <c r="Y724" t="s">
        <v>152</v>
      </c>
    </row>
    <row r="725" spans="1:25">
      <c r="A725" t="s">
        <v>906</v>
      </c>
      <c r="B725" s="113">
        <v>44694</v>
      </c>
      <c r="C725" t="s">
        <v>159</v>
      </c>
      <c r="D725" t="s">
        <v>209</v>
      </c>
      <c r="E725">
        <v>28</v>
      </c>
      <c r="F725">
        <v>692</v>
      </c>
      <c r="G725" t="s">
        <v>155</v>
      </c>
      <c r="H725">
        <v>69655.522599999997</v>
      </c>
      <c r="I725">
        <v>69655.522599999997</v>
      </c>
      <c r="J725" t="s">
        <v>148</v>
      </c>
      <c r="K725" t="s">
        <v>148</v>
      </c>
      <c r="L725">
        <v>7.6</v>
      </c>
      <c r="M725" t="s">
        <v>149</v>
      </c>
      <c r="N725">
        <v>1</v>
      </c>
      <c r="O725">
        <v>5.0999999999999996</v>
      </c>
      <c r="P725">
        <v>1</v>
      </c>
      <c r="Q725">
        <v>1250</v>
      </c>
      <c r="R725">
        <v>0.53027778999999997</v>
      </c>
      <c r="S725" t="s">
        <v>150</v>
      </c>
      <c r="T725">
        <v>16</v>
      </c>
      <c r="U725">
        <v>0</v>
      </c>
      <c r="V725">
        <v>16</v>
      </c>
      <c r="W725">
        <v>0</v>
      </c>
      <c r="X725" t="s">
        <v>149</v>
      </c>
      <c r="Y725" t="s">
        <v>157</v>
      </c>
    </row>
    <row r="726" spans="1:25">
      <c r="A726" t="s">
        <v>907</v>
      </c>
      <c r="B726" s="113">
        <v>44696</v>
      </c>
      <c r="C726" t="s">
        <v>145</v>
      </c>
      <c r="D726" t="s">
        <v>146</v>
      </c>
      <c r="E726">
        <v>59</v>
      </c>
      <c r="F726">
        <v>758</v>
      </c>
      <c r="G726" t="s">
        <v>176</v>
      </c>
      <c r="H726">
        <v>70478.198480000006</v>
      </c>
      <c r="J726" t="s">
        <v>148</v>
      </c>
      <c r="K726" t="s">
        <v>148</v>
      </c>
      <c r="L726">
        <v>15.6</v>
      </c>
      <c r="M726" t="s">
        <v>149</v>
      </c>
      <c r="N726">
        <v>0</v>
      </c>
      <c r="O726">
        <v>0.5</v>
      </c>
      <c r="P726">
        <v>3</v>
      </c>
      <c r="Q726">
        <v>800</v>
      </c>
      <c r="R726">
        <v>0.38843091000000002</v>
      </c>
      <c r="S726" t="s">
        <v>150</v>
      </c>
      <c r="T726">
        <v>18</v>
      </c>
      <c r="U726">
        <v>0</v>
      </c>
      <c r="V726">
        <v>18</v>
      </c>
      <c r="W726">
        <v>0</v>
      </c>
      <c r="X726" t="s">
        <v>151</v>
      </c>
      <c r="Y726" t="s">
        <v>152</v>
      </c>
    </row>
    <row r="727" spans="1:25">
      <c r="A727" t="s">
        <v>908</v>
      </c>
      <c r="B727" s="113">
        <v>44698</v>
      </c>
      <c r="C727" t="s">
        <v>145</v>
      </c>
      <c r="D727" t="s">
        <v>172</v>
      </c>
      <c r="E727">
        <v>34</v>
      </c>
      <c r="F727">
        <v>717</v>
      </c>
      <c r="G727" t="s">
        <v>155</v>
      </c>
      <c r="H727">
        <v>24273.763739999999</v>
      </c>
      <c r="I727">
        <v>24273.763739999999</v>
      </c>
      <c r="J727" t="s">
        <v>148</v>
      </c>
      <c r="K727" t="s">
        <v>148</v>
      </c>
      <c r="L727">
        <v>3.8</v>
      </c>
      <c r="M727" t="s">
        <v>149</v>
      </c>
      <c r="N727">
        <v>1</v>
      </c>
      <c r="O727">
        <v>5</v>
      </c>
      <c r="P727">
        <v>4</v>
      </c>
      <c r="Q727">
        <v>1300</v>
      </c>
      <c r="R727">
        <v>0.236661393</v>
      </c>
      <c r="S727" t="s">
        <v>150</v>
      </c>
      <c r="T727">
        <v>13</v>
      </c>
      <c r="U727">
        <v>0</v>
      </c>
      <c r="V727">
        <v>13</v>
      </c>
      <c r="W727">
        <v>1</v>
      </c>
      <c r="X727" t="s">
        <v>149</v>
      </c>
      <c r="Y727" t="s">
        <v>157</v>
      </c>
    </row>
    <row r="728" spans="1:25">
      <c r="A728" t="s">
        <v>909</v>
      </c>
      <c r="B728" s="113">
        <v>44700</v>
      </c>
      <c r="C728" t="s">
        <v>159</v>
      </c>
      <c r="D728" t="s">
        <v>168</v>
      </c>
      <c r="E728">
        <v>32</v>
      </c>
      <c r="F728">
        <v>740</v>
      </c>
      <c r="G728" t="s">
        <v>147</v>
      </c>
      <c r="H728">
        <v>35164.329819999999</v>
      </c>
      <c r="I728">
        <v>35164.329819999999</v>
      </c>
      <c r="J728" t="s">
        <v>148</v>
      </c>
      <c r="K728" t="s">
        <v>148</v>
      </c>
      <c r="L728">
        <v>6.4</v>
      </c>
      <c r="M728" t="s">
        <v>149</v>
      </c>
      <c r="N728">
        <v>3</v>
      </c>
      <c r="O728">
        <v>6.6</v>
      </c>
      <c r="P728">
        <v>2</v>
      </c>
      <c r="Q728">
        <v>1700</v>
      </c>
      <c r="R728">
        <v>7.8846259000000002E-2</v>
      </c>
      <c r="S728" t="s">
        <v>150</v>
      </c>
      <c r="T728">
        <v>13</v>
      </c>
      <c r="U728">
        <v>0</v>
      </c>
      <c r="V728">
        <v>13</v>
      </c>
      <c r="W728">
        <v>0</v>
      </c>
      <c r="X728" t="s">
        <v>149</v>
      </c>
      <c r="Y728" t="s">
        <v>157</v>
      </c>
    </row>
    <row r="729" spans="1:25">
      <c r="A729" t="s">
        <v>910</v>
      </c>
      <c r="B729" s="113">
        <v>44701</v>
      </c>
      <c r="C729" t="s">
        <v>159</v>
      </c>
      <c r="D729" t="s">
        <v>197</v>
      </c>
      <c r="E729">
        <v>37</v>
      </c>
      <c r="F729">
        <v>745</v>
      </c>
      <c r="G729" t="s">
        <v>147</v>
      </c>
      <c r="H729">
        <v>62416.439559999999</v>
      </c>
      <c r="I729">
        <v>62416.439559999999</v>
      </c>
      <c r="J729" t="s">
        <v>221</v>
      </c>
      <c r="K729" t="s">
        <v>221</v>
      </c>
      <c r="L729">
        <v>7.3</v>
      </c>
      <c r="M729" t="s">
        <v>149</v>
      </c>
      <c r="N729">
        <v>3</v>
      </c>
      <c r="O729">
        <v>5.9</v>
      </c>
      <c r="P729">
        <v>3</v>
      </c>
      <c r="Q729">
        <v>1550</v>
      </c>
      <c r="R729">
        <v>8.0983036999999994E-2</v>
      </c>
      <c r="S729" t="s">
        <v>150</v>
      </c>
      <c r="T729">
        <v>20</v>
      </c>
      <c r="U729">
        <v>1</v>
      </c>
      <c r="V729">
        <v>20</v>
      </c>
      <c r="W729">
        <v>0</v>
      </c>
      <c r="X729" t="s">
        <v>149</v>
      </c>
      <c r="Y729" t="s">
        <v>157</v>
      </c>
    </row>
    <row r="730" spans="1:25">
      <c r="A730" t="s">
        <v>911</v>
      </c>
      <c r="B730" s="113">
        <v>44701</v>
      </c>
      <c r="C730" t="s">
        <v>145</v>
      </c>
      <c r="D730" t="s">
        <v>146</v>
      </c>
      <c r="E730">
        <v>29</v>
      </c>
      <c r="F730">
        <v>727</v>
      </c>
      <c r="G730" t="s">
        <v>169</v>
      </c>
      <c r="H730">
        <v>20464.583729999998</v>
      </c>
      <c r="J730" t="s">
        <v>148</v>
      </c>
      <c r="K730" t="s">
        <v>148</v>
      </c>
      <c r="L730">
        <v>3.7</v>
      </c>
      <c r="M730" t="s">
        <v>149</v>
      </c>
      <c r="N730">
        <v>0</v>
      </c>
      <c r="O730">
        <v>2.7</v>
      </c>
      <c r="P730">
        <v>2</v>
      </c>
      <c r="Q730">
        <v>1400</v>
      </c>
      <c r="R730">
        <v>0.23874358600000001</v>
      </c>
      <c r="S730" t="s">
        <v>150</v>
      </c>
      <c r="T730">
        <v>9</v>
      </c>
      <c r="U730">
        <v>0</v>
      </c>
      <c r="V730">
        <v>9</v>
      </c>
      <c r="W730">
        <v>0</v>
      </c>
      <c r="X730" t="s">
        <v>151</v>
      </c>
      <c r="Y730" t="s">
        <v>152</v>
      </c>
    </row>
    <row r="731" spans="1:25">
      <c r="A731" t="s">
        <v>912</v>
      </c>
      <c r="B731" s="113">
        <v>44703</v>
      </c>
      <c r="C731" t="s">
        <v>162</v>
      </c>
      <c r="D731" t="s">
        <v>187</v>
      </c>
      <c r="E731">
        <v>41</v>
      </c>
      <c r="F731">
        <v>735</v>
      </c>
      <c r="G731" t="s">
        <v>176</v>
      </c>
      <c r="H731">
        <v>164965.58309999999</v>
      </c>
      <c r="I731">
        <v>164965.58309999999</v>
      </c>
      <c r="J731" t="s">
        <v>156</v>
      </c>
      <c r="K731" t="s">
        <v>156</v>
      </c>
      <c r="L731">
        <v>0.5</v>
      </c>
      <c r="M731" t="s">
        <v>149</v>
      </c>
      <c r="N731">
        <v>3</v>
      </c>
      <c r="O731">
        <v>5.4</v>
      </c>
      <c r="P731">
        <v>3</v>
      </c>
      <c r="Q731">
        <v>1300</v>
      </c>
      <c r="R731">
        <v>0.39040532700000002</v>
      </c>
      <c r="S731" t="s">
        <v>150</v>
      </c>
      <c r="T731">
        <v>14</v>
      </c>
      <c r="U731">
        <v>0</v>
      </c>
      <c r="V731">
        <v>14</v>
      </c>
      <c r="W731">
        <v>0</v>
      </c>
      <c r="X731" t="s">
        <v>149</v>
      </c>
      <c r="Y731" t="s">
        <v>157</v>
      </c>
    </row>
    <row r="732" spans="1:25">
      <c r="A732" t="s">
        <v>913</v>
      </c>
      <c r="B732" s="113">
        <v>44703</v>
      </c>
      <c r="C732" t="s">
        <v>145</v>
      </c>
      <c r="D732" t="s">
        <v>280</v>
      </c>
      <c r="E732">
        <v>57</v>
      </c>
      <c r="F732">
        <v>782</v>
      </c>
      <c r="G732" t="s">
        <v>176</v>
      </c>
      <c r="H732">
        <v>114492.5273</v>
      </c>
      <c r="I732">
        <v>114492.5273</v>
      </c>
      <c r="J732" t="s">
        <v>148</v>
      </c>
      <c r="K732" t="s">
        <v>148</v>
      </c>
      <c r="L732">
        <v>2.4</v>
      </c>
      <c r="M732" t="s">
        <v>149</v>
      </c>
      <c r="N732">
        <v>7</v>
      </c>
      <c r="O732">
        <v>7.6</v>
      </c>
      <c r="P732">
        <v>3</v>
      </c>
      <c r="Q732">
        <v>1100</v>
      </c>
      <c r="R732">
        <v>0.53209399499999999</v>
      </c>
      <c r="S732" t="s">
        <v>150</v>
      </c>
      <c r="T732">
        <v>7</v>
      </c>
      <c r="U732">
        <v>0</v>
      </c>
      <c r="V732">
        <v>7</v>
      </c>
      <c r="W732">
        <v>0</v>
      </c>
      <c r="X732" t="s">
        <v>151</v>
      </c>
      <c r="Y732" t="s">
        <v>152</v>
      </c>
    </row>
    <row r="733" spans="1:25">
      <c r="A733" t="s">
        <v>914</v>
      </c>
      <c r="B733" s="113">
        <v>44704</v>
      </c>
      <c r="C733" t="s">
        <v>162</v>
      </c>
      <c r="D733" t="s">
        <v>187</v>
      </c>
      <c r="E733">
        <v>49</v>
      </c>
      <c r="F733">
        <v>753</v>
      </c>
      <c r="G733" t="s">
        <v>147</v>
      </c>
      <c r="H733">
        <v>27812.865160000001</v>
      </c>
      <c r="I733">
        <v>27812.865160000001</v>
      </c>
      <c r="J733" t="s">
        <v>156</v>
      </c>
      <c r="K733" t="s">
        <v>156</v>
      </c>
      <c r="L733">
        <v>2.1</v>
      </c>
      <c r="M733" t="s">
        <v>149</v>
      </c>
      <c r="N733">
        <v>3</v>
      </c>
      <c r="O733">
        <v>5.5</v>
      </c>
      <c r="P733">
        <v>2</v>
      </c>
      <c r="Q733">
        <v>1050</v>
      </c>
      <c r="R733">
        <v>0.66019009100000003</v>
      </c>
      <c r="S733" t="s">
        <v>150</v>
      </c>
      <c r="T733">
        <v>22</v>
      </c>
      <c r="U733">
        <v>0</v>
      </c>
      <c r="V733">
        <v>22</v>
      </c>
      <c r="W733">
        <v>0</v>
      </c>
      <c r="X733" t="s">
        <v>149</v>
      </c>
      <c r="Y733" t="s">
        <v>157</v>
      </c>
    </row>
    <row r="734" spans="1:25">
      <c r="A734" t="s">
        <v>915</v>
      </c>
      <c r="B734" s="113">
        <v>44705</v>
      </c>
      <c r="C734" t="s">
        <v>159</v>
      </c>
      <c r="D734" t="s">
        <v>165</v>
      </c>
      <c r="E734">
        <v>58</v>
      </c>
      <c r="F734">
        <v>475</v>
      </c>
      <c r="G734" t="s">
        <v>176</v>
      </c>
      <c r="H734">
        <v>75546.690499999997</v>
      </c>
      <c r="I734">
        <v>75546.690499999997</v>
      </c>
      <c r="J734" t="s">
        <v>148</v>
      </c>
      <c r="K734" t="s">
        <v>166</v>
      </c>
      <c r="L734">
        <v>0.3</v>
      </c>
      <c r="M734" t="s">
        <v>149</v>
      </c>
      <c r="N734">
        <v>1</v>
      </c>
      <c r="O734">
        <v>0.5</v>
      </c>
      <c r="P734">
        <v>3</v>
      </c>
      <c r="Q734">
        <v>1150</v>
      </c>
      <c r="R734">
        <v>0.77142134600000001</v>
      </c>
      <c r="S734" t="s">
        <v>150</v>
      </c>
      <c r="T734">
        <v>9</v>
      </c>
      <c r="U734">
        <v>0</v>
      </c>
      <c r="V734">
        <v>9</v>
      </c>
      <c r="W734">
        <v>0</v>
      </c>
      <c r="X734" t="s">
        <v>151</v>
      </c>
      <c r="Y734" t="s">
        <v>152</v>
      </c>
    </row>
    <row r="735" spans="1:25">
      <c r="A735" t="s">
        <v>916</v>
      </c>
      <c r="B735" s="113">
        <v>44710</v>
      </c>
      <c r="C735" t="s">
        <v>162</v>
      </c>
      <c r="D735" t="s">
        <v>190</v>
      </c>
      <c r="E735">
        <v>37</v>
      </c>
      <c r="F735">
        <v>742</v>
      </c>
      <c r="G735" t="s">
        <v>147</v>
      </c>
      <c r="H735">
        <v>26264.80701</v>
      </c>
      <c r="I735">
        <v>26264.80701</v>
      </c>
      <c r="J735" t="s">
        <v>156</v>
      </c>
      <c r="K735" t="s">
        <v>156</v>
      </c>
      <c r="L735">
        <v>1.3</v>
      </c>
      <c r="M735" t="s">
        <v>149</v>
      </c>
      <c r="N735">
        <v>3</v>
      </c>
      <c r="O735">
        <v>2.1</v>
      </c>
      <c r="P735">
        <v>3</v>
      </c>
      <c r="Q735">
        <v>1200</v>
      </c>
      <c r="R735">
        <v>0.86294630699999997</v>
      </c>
      <c r="S735" t="s">
        <v>150</v>
      </c>
      <c r="T735">
        <v>17</v>
      </c>
      <c r="U735">
        <v>0</v>
      </c>
      <c r="V735">
        <v>17</v>
      </c>
      <c r="W735">
        <v>0</v>
      </c>
      <c r="X735" t="s">
        <v>149</v>
      </c>
      <c r="Y735" t="s">
        <v>157</v>
      </c>
    </row>
    <row r="736" spans="1:25">
      <c r="A736" t="s">
        <v>917</v>
      </c>
      <c r="B736" s="113">
        <v>44710</v>
      </c>
      <c r="C736" t="s">
        <v>162</v>
      </c>
      <c r="D736" t="s">
        <v>193</v>
      </c>
      <c r="E736">
        <v>57</v>
      </c>
      <c r="F736">
        <v>577</v>
      </c>
      <c r="G736" t="s">
        <v>155</v>
      </c>
      <c r="H736">
        <v>137898.14980000001</v>
      </c>
      <c r="I736">
        <v>137898.14980000001</v>
      </c>
      <c r="J736" t="s">
        <v>148</v>
      </c>
      <c r="K736" t="s">
        <v>148</v>
      </c>
      <c r="L736">
        <v>9.6999999999999993</v>
      </c>
      <c r="M736" t="s">
        <v>149</v>
      </c>
      <c r="N736">
        <v>4</v>
      </c>
      <c r="O736">
        <v>1.4</v>
      </c>
      <c r="P736">
        <v>3</v>
      </c>
      <c r="Q736">
        <v>1750</v>
      </c>
      <c r="R736">
        <v>0.93242693200000004</v>
      </c>
      <c r="S736" t="s">
        <v>150</v>
      </c>
      <c r="T736">
        <v>9</v>
      </c>
      <c r="U736">
        <v>0</v>
      </c>
      <c r="V736">
        <v>9</v>
      </c>
      <c r="W736">
        <v>0</v>
      </c>
      <c r="X736" t="s">
        <v>151</v>
      </c>
      <c r="Y736" t="s">
        <v>152</v>
      </c>
    </row>
    <row r="737" spans="1:25">
      <c r="A737" t="s">
        <v>918</v>
      </c>
      <c r="B737" s="113">
        <v>44711</v>
      </c>
      <c r="C737" t="s">
        <v>159</v>
      </c>
      <c r="D737" t="s">
        <v>168</v>
      </c>
      <c r="E737">
        <v>47</v>
      </c>
      <c r="F737">
        <v>617</v>
      </c>
      <c r="G737" t="s">
        <v>169</v>
      </c>
      <c r="H737">
        <v>36885.291870000001</v>
      </c>
      <c r="I737">
        <v>36885.291870000001</v>
      </c>
      <c r="J737" t="s">
        <v>249</v>
      </c>
      <c r="K737" t="s">
        <v>249</v>
      </c>
      <c r="L737">
        <v>2</v>
      </c>
      <c r="M737" t="s">
        <v>149</v>
      </c>
      <c r="N737">
        <v>3</v>
      </c>
      <c r="O737">
        <v>9.1999999999999993</v>
      </c>
      <c r="P737">
        <v>3</v>
      </c>
      <c r="Q737">
        <v>800</v>
      </c>
      <c r="R737">
        <v>0.97808830599999996</v>
      </c>
      <c r="S737" t="s">
        <v>150</v>
      </c>
      <c r="T737">
        <v>6</v>
      </c>
      <c r="U737">
        <v>0</v>
      </c>
      <c r="V737">
        <v>6</v>
      </c>
      <c r="W737">
        <v>0</v>
      </c>
      <c r="X737" t="s">
        <v>151</v>
      </c>
      <c r="Y737" t="s">
        <v>152</v>
      </c>
    </row>
    <row r="738" spans="1:25">
      <c r="A738" t="s">
        <v>919</v>
      </c>
      <c r="B738" s="113">
        <v>44712</v>
      </c>
      <c r="C738" t="s">
        <v>145</v>
      </c>
      <c r="D738" t="s">
        <v>280</v>
      </c>
      <c r="E738">
        <v>47</v>
      </c>
      <c r="F738">
        <v>632</v>
      </c>
      <c r="G738" t="s">
        <v>147</v>
      </c>
      <c r="H738">
        <v>36079.690450000002</v>
      </c>
      <c r="I738">
        <v>36079.690450000002</v>
      </c>
      <c r="J738" t="s">
        <v>183</v>
      </c>
      <c r="K738" t="s">
        <v>183</v>
      </c>
      <c r="L738">
        <v>2.8</v>
      </c>
      <c r="M738" t="s">
        <v>149</v>
      </c>
      <c r="N738">
        <v>2</v>
      </c>
      <c r="O738">
        <v>16.2</v>
      </c>
      <c r="P738">
        <v>3</v>
      </c>
      <c r="Q738">
        <v>1050</v>
      </c>
      <c r="R738">
        <v>0.99876399100000002</v>
      </c>
      <c r="S738" t="s">
        <v>150</v>
      </c>
      <c r="T738">
        <v>17</v>
      </c>
      <c r="U738">
        <v>0</v>
      </c>
      <c r="V738">
        <v>17</v>
      </c>
      <c r="W738">
        <v>0</v>
      </c>
      <c r="X738" t="s">
        <v>151</v>
      </c>
      <c r="Y738" t="s">
        <v>152</v>
      </c>
    </row>
    <row r="739" spans="1:25">
      <c r="A739" t="s">
        <v>920</v>
      </c>
      <c r="B739" s="113">
        <v>44716</v>
      </c>
      <c r="C739" t="s">
        <v>162</v>
      </c>
      <c r="D739" t="s">
        <v>193</v>
      </c>
      <c r="E739">
        <v>50</v>
      </c>
      <c r="F739">
        <v>659</v>
      </c>
      <c r="G739" t="s">
        <v>169</v>
      </c>
      <c r="H739">
        <v>44216.656819999997</v>
      </c>
      <c r="I739">
        <v>44216.656819999997</v>
      </c>
      <c r="J739" t="s">
        <v>148</v>
      </c>
      <c r="K739" t="s">
        <v>148</v>
      </c>
      <c r="L739">
        <v>2.2999999999999998</v>
      </c>
      <c r="M739" t="s">
        <v>149</v>
      </c>
      <c r="N739">
        <v>2</v>
      </c>
      <c r="O739">
        <v>1.3</v>
      </c>
      <c r="P739">
        <v>2</v>
      </c>
      <c r="Q739">
        <v>1450</v>
      </c>
      <c r="R739">
        <v>0.99392581700000004</v>
      </c>
      <c r="S739" t="s">
        <v>150</v>
      </c>
      <c r="T739">
        <v>21</v>
      </c>
      <c r="U739">
        <v>0</v>
      </c>
      <c r="V739">
        <v>21</v>
      </c>
      <c r="W739">
        <v>0</v>
      </c>
      <c r="X739" t="s">
        <v>151</v>
      </c>
      <c r="Y739" t="s">
        <v>152</v>
      </c>
    </row>
    <row r="740" spans="1:25">
      <c r="A740" t="s">
        <v>921</v>
      </c>
      <c r="B740" s="113">
        <v>44716</v>
      </c>
      <c r="C740" t="s">
        <v>162</v>
      </c>
      <c r="D740" t="s">
        <v>193</v>
      </c>
      <c r="E740">
        <v>49</v>
      </c>
      <c r="F740">
        <v>755</v>
      </c>
      <c r="G740" t="s">
        <v>147</v>
      </c>
      <c r="H740">
        <v>23469.127860000001</v>
      </c>
      <c r="I740">
        <v>23469.127860000001</v>
      </c>
      <c r="J740" t="s">
        <v>148</v>
      </c>
      <c r="K740" t="s">
        <v>148</v>
      </c>
      <c r="L740">
        <v>1</v>
      </c>
      <c r="M740" t="s">
        <v>149</v>
      </c>
      <c r="N740">
        <v>3</v>
      </c>
      <c r="O740">
        <v>2.7</v>
      </c>
      <c r="P740">
        <v>2</v>
      </c>
      <c r="Q740">
        <v>2050</v>
      </c>
      <c r="R740">
        <v>0.96369737799999999</v>
      </c>
      <c r="S740" t="s">
        <v>198</v>
      </c>
      <c r="Y740" t="s">
        <v>199</v>
      </c>
    </row>
    <row r="741" spans="1:25">
      <c r="A741" t="s">
        <v>922</v>
      </c>
      <c r="B741" s="113">
        <v>44720</v>
      </c>
      <c r="C741" t="s">
        <v>159</v>
      </c>
      <c r="D741" t="s">
        <v>168</v>
      </c>
      <c r="E741">
        <v>40</v>
      </c>
      <c r="F741">
        <v>480</v>
      </c>
      <c r="G741" t="s">
        <v>155</v>
      </c>
      <c r="H741">
        <v>20790.079310000001</v>
      </c>
      <c r="I741">
        <v>20790.079310000001</v>
      </c>
      <c r="J741" t="s">
        <v>183</v>
      </c>
      <c r="K741" t="s">
        <v>183</v>
      </c>
      <c r="L741">
        <v>0.2</v>
      </c>
      <c r="M741" t="s">
        <v>149</v>
      </c>
      <c r="N741">
        <v>3</v>
      </c>
      <c r="O741">
        <v>0.4</v>
      </c>
      <c r="P741">
        <v>4</v>
      </c>
      <c r="Q741">
        <v>950</v>
      </c>
      <c r="R741">
        <v>0.90885087099999995</v>
      </c>
      <c r="S741" t="s">
        <v>198</v>
      </c>
      <c r="Y741" t="s">
        <v>199</v>
      </c>
    </row>
    <row r="742" spans="1:25">
      <c r="A742" t="s">
        <v>923</v>
      </c>
      <c r="B742" s="113">
        <v>44721</v>
      </c>
      <c r="C742" t="s">
        <v>162</v>
      </c>
      <c r="D742" t="s">
        <v>187</v>
      </c>
      <c r="E742">
        <v>34</v>
      </c>
      <c r="F742">
        <v>495</v>
      </c>
      <c r="G742" t="s">
        <v>176</v>
      </c>
      <c r="H742">
        <v>219458.86060000001</v>
      </c>
      <c r="I742">
        <v>219458.86060000001</v>
      </c>
      <c r="J742" t="s">
        <v>148</v>
      </c>
      <c r="K742" t="s">
        <v>148</v>
      </c>
      <c r="L742">
        <v>1.5</v>
      </c>
      <c r="M742" t="s">
        <v>149</v>
      </c>
      <c r="N742">
        <v>3</v>
      </c>
      <c r="O742">
        <v>1</v>
      </c>
      <c r="P742">
        <v>3</v>
      </c>
      <c r="Q742">
        <v>1000</v>
      </c>
      <c r="R742">
        <v>0.83078737499999999</v>
      </c>
      <c r="S742" t="s">
        <v>150</v>
      </c>
      <c r="T742">
        <v>14</v>
      </c>
      <c r="U742">
        <v>1</v>
      </c>
      <c r="V742">
        <v>14</v>
      </c>
      <c r="W742">
        <v>0</v>
      </c>
      <c r="X742" t="s">
        <v>149</v>
      </c>
      <c r="Y742" t="s">
        <v>157</v>
      </c>
    </row>
    <row r="743" spans="1:25">
      <c r="A743" t="s">
        <v>924</v>
      </c>
      <c r="B743" s="113">
        <v>44725</v>
      </c>
      <c r="C743" t="s">
        <v>162</v>
      </c>
      <c r="D743" t="s">
        <v>187</v>
      </c>
      <c r="E743">
        <v>44</v>
      </c>
      <c r="F743">
        <v>770</v>
      </c>
      <c r="G743" t="s">
        <v>176</v>
      </c>
      <c r="H743">
        <v>40929.795619999997</v>
      </c>
      <c r="I743">
        <v>40929.795619999997</v>
      </c>
      <c r="J743" t="s">
        <v>148</v>
      </c>
      <c r="K743" t="s">
        <v>148</v>
      </c>
      <c r="L743">
        <v>1.1000000000000001</v>
      </c>
      <c r="M743" t="s">
        <v>149</v>
      </c>
      <c r="N743">
        <v>2</v>
      </c>
      <c r="O743">
        <v>8.8000000000000007</v>
      </c>
      <c r="P743">
        <v>2</v>
      </c>
      <c r="Q743">
        <v>950</v>
      </c>
      <c r="R743">
        <v>0.73150105600000004</v>
      </c>
      <c r="S743" t="s">
        <v>150</v>
      </c>
      <c r="T743">
        <v>16</v>
      </c>
      <c r="U743">
        <v>0</v>
      </c>
      <c r="V743">
        <v>16</v>
      </c>
      <c r="W743">
        <v>0</v>
      </c>
      <c r="X743" t="s">
        <v>149</v>
      </c>
      <c r="Y743" t="s">
        <v>157</v>
      </c>
    </row>
    <row r="744" spans="1:25">
      <c r="A744" t="s">
        <v>925</v>
      </c>
      <c r="B744" s="113">
        <v>44725</v>
      </c>
      <c r="C744" t="s">
        <v>162</v>
      </c>
      <c r="D744" t="s">
        <v>179</v>
      </c>
      <c r="E744">
        <v>43</v>
      </c>
      <c r="F744">
        <v>796</v>
      </c>
      <c r="G744" t="s">
        <v>169</v>
      </c>
      <c r="H744">
        <v>39713.05143</v>
      </c>
      <c r="J744" t="s">
        <v>156</v>
      </c>
      <c r="K744" t="s">
        <v>156</v>
      </c>
      <c r="L744">
        <v>5</v>
      </c>
      <c r="M744" t="s">
        <v>149</v>
      </c>
      <c r="N744">
        <v>3</v>
      </c>
      <c r="O744">
        <v>3</v>
      </c>
      <c r="P744">
        <v>2</v>
      </c>
      <c r="Q744">
        <v>1500</v>
      </c>
      <c r="R744">
        <v>0.61352822600000001</v>
      </c>
      <c r="S744" t="s">
        <v>150</v>
      </c>
      <c r="T744">
        <v>15</v>
      </c>
      <c r="U744">
        <v>0</v>
      </c>
      <c r="V744">
        <v>15</v>
      </c>
      <c r="W744">
        <v>0</v>
      </c>
      <c r="X744" t="s">
        <v>149</v>
      </c>
      <c r="Y744" t="s">
        <v>157</v>
      </c>
    </row>
    <row r="745" spans="1:25">
      <c r="A745" t="s">
        <v>926</v>
      </c>
      <c r="B745" s="113">
        <v>44728</v>
      </c>
      <c r="C745" t="s">
        <v>162</v>
      </c>
      <c r="D745" t="s">
        <v>179</v>
      </c>
      <c r="E745">
        <v>26</v>
      </c>
      <c r="F745">
        <v>714</v>
      </c>
      <c r="G745" t="s">
        <v>147</v>
      </c>
      <c r="H745">
        <v>72470.420140000002</v>
      </c>
      <c r="J745" t="s">
        <v>148</v>
      </c>
      <c r="K745" t="s">
        <v>148</v>
      </c>
      <c r="L745">
        <v>11.5</v>
      </c>
      <c r="M745" t="s">
        <v>149</v>
      </c>
      <c r="N745">
        <v>0</v>
      </c>
      <c r="O745">
        <v>2.1</v>
      </c>
      <c r="P745">
        <v>1</v>
      </c>
      <c r="Q745">
        <v>800</v>
      </c>
      <c r="R745">
        <v>0.47988255099999999</v>
      </c>
      <c r="S745" t="s">
        <v>150</v>
      </c>
      <c r="T745">
        <v>6</v>
      </c>
      <c r="U745">
        <v>0</v>
      </c>
      <c r="V745">
        <v>6</v>
      </c>
      <c r="W745">
        <v>0</v>
      </c>
      <c r="X745" t="s">
        <v>151</v>
      </c>
      <c r="Y745" t="s">
        <v>152</v>
      </c>
    </row>
    <row r="746" spans="1:25">
      <c r="A746" t="s">
        <v>927</v>
      </c>
      <c r="B746" s="113">
        <v>44729</v>
      </c>
      <c r="C746" t="s">
        <v>159</v>
      </c>
      <c r="D746" t="s">
        <v>197</v>
      </c>
      <c r="E746">
        <v>63</v>
      </c>
      <c r="F746">
        <v>755</v>
      </c>
      <c r="G746" t="s">
        <v>176</v>
      </c>
      <c r="H746">
        <v>46253.890579999999</v>
      </c>
      <c r="I746">
        <v>46253.890579999999</v>
      </c>
      <c r="J746" t="s">
        <v>148</v>
      </c>
      <c r="K746" t="s">
        <v>148</v>
      </c>
      <c r="L746">
        <v>1.2</v>
      </c>
      <c r="M746" t="s">
        <v>149</v>
      </c>
      <c r="N746">
        <v>3</v>
      </c>
      <c r="O746">
        <v>2.8</v>
      </c>
      <c r="P746">
        <v>2</v>
      </c>
      <c r="Q746">
        <v>1700</v>
      </c>
      <c r="R746">
        <v>0.33397806800000002</v>
      </c>
      <c r="S746" t="s">
        <v>150</v>
      </c>
      <c r="T746">
        <v>18</v>
      </c>
      <c r="U746">
        <v>0</v>
      </c>
      <c r="V746">
        <v>18</v>
      </c>
      <c r="W746">
        <v>0</v>
      </c>
      <c r="X746" t="s">
        <v>149</v>
      </c>
      <c r="Y746" t="s">
        <v>157</v>
      </c>
    </row>
    <row r="747" spans="1:25">
      <c r="A747" t="s">
        <v>928</v>
      </c>
      <c r="B747" s="113">
        <v>44731</v>
      </c>
      <c r="C747" t="s">
        <v>145</v>
      </c>
      <c r="D747" t="s">
        <v>154</v>
      </c>
      <c r="E747">
        <v>51</v>
      </c>
      <c r="F747">
        <v>728</v>
      </c>
      <c r="G747" t="s">
        <v>147</v>
      </c>
      <c r="H747">
        <v>3228486</v>
      </c>
      <c r="I747">
        <v>3228486</v>
      </c>
      <c r="J747" t="s">
        <v>181</v>
      </c>
      <c r="K747" t="s">
        <v>181</v>
      </c>
      <c r="L747">
        <v>1.2</v>
      </c>
      <c r="M747" t="s">
        <v>151</v>
      </c>
      <c r="N747">
        <v>4</v>
      </c>
      <c r="O747">
        <v>1.1000000000000001</v>
      </c>
      <c r="P747">
        <v>3</v>
      </c>
      <c r="Q747">
        <v>0</v>
      </c>
      <c r="R747">
        <v>0.17954197099999999</v>
      </c>
      <c r="S747" t="s">
        <v>198</v>
      </c>
      <c r="T747">
        <v>0</v>
      </c>
      <c r="U747">
        <v>0</v>
      </c>
      <c r="V747">
        <v>0</v>
      </c>
      <c r="W747">
        <v>0</v>
      </c>
      <c r="Y747" t="s">
        <v>199</v>
      </c>
    </row>
    <row r="748" spans="1:25">
      <c r="A748" t="s">
        <v>929</v>
      </c>
      <c r="B748" s="113">
        <v>44731</v>
      </c>
      <c r="C748" t="s">
        <v>159</v>
      </c>
      <c r="D748" t="s">
        <v>160</v>
      </c>
      <c r="E748">
        <v>41</v>
      </c>
      <c r="F748">
        <v>810</v>
      </c>
      <c r="G748" t="s">
        <v>147</v>
      </c>
      <c r="H748">
        <v>94037.17697</v>
      </c>
      <c r="J748" t="s">
        <v>170</v>
      </c>
      <c r="K748" t="s">
        <v>170</v>
      </c>
      <c r="L748">
        <v>16.2</v>
      </c>
      <c r="M748" t="s">
        <v>149</v>
      </c>
      <c r="N748">
        <v>2</v>
      </c>
      <c r="O748">
        <v>3.1</v>
      </c>
      <c r="P748">
        <v>3</v>
      </c>
      <c r="Q748">
        <v>1650</v>
      </c>
      <c r="R748">
        <v>2.0519395999999999E-2</v>
      </c>
      <c r="S748" t="s">
        <v>150</v>
      </c>
      <c r="T748">
        <v>13</v>
      </c>
      <c r="U748">
        <v>0</v>
      </c>
      <c r="V748">
        <v>13</v>
      </c>
      <c r="W748">
        <v>0</v>
      </c>
      <c r="X748" t="s">
        <v>149</v>
      </c>
      <c r="Y748" t="s">
        <v>157</v>
      </c>
    </row>
    <row r="749" spans="1:25">
      <c r="A749" t="s">
        <v>930</v>
      </c>
      <c r="B749" s="113">
        <v>44732</v>
      </c>
      <c r="C749" t="s">
        <v>162</v>
      </c>
      <c r="D749" t="s">
        <v>163</v>
      </c>
      <c r="E749">
        <v>26</v>
      </c>
      <c r="F749">
        <v>634</v>
      </c>
      <c r="G749" t="s">
        <v>169</v>
      </c>
      <c r="H749">
        <v>21013.388630000001</v>
      </c>
      <c r="I749">
        <v>21013.388630000001</v>
      </c>
      <c r="J749" t="s">
        <v>148</v>
      </c>
      <c r="K749" t="s">
        <v>148</v>
      </c>
      <c r="L749">
        <v>3.6</v>
      </c>
      <c r="M749" t="s">
        <v>149</v>
      </c>
      <c r="N749">
        <v>0</v>
      </c>
      <c r="O749">
        <v>8.6</v>
      </c>
      <c r="P749">
        <v>3</v>
      </c>
      <c r="Q749">
        <v>1150</v>
      </c>
      <c r="R749">
        <v>0.13902735499999999</v>
      </c>
      <c r="S749" t="s">
        <v>150</v>
      </c>
      <c r="T749">
        <v>18</v>
      </c>
      <c r="U749">
        <v>0</v>
      </c>
      <c r="V749">
        <v>18</v>
      </c>
      <c r="W749">
        <v>0</v>
      </c>
      <c r="X749" t="s">
        <v>151</v>
      </c>
      <c r="Y749" t="s">
        <v>152</v>
      </c>
    </row>
    <row r="750" spans="1:25">
      <c r="A750" t="s">
        <v>931</v>
      </c>
      <c r="B750" s="113">
        <v>44736</v>
      </c>
      <c r="C750" t="s">
        <v>145</v>
      </c>
      <c r="D750" t="s">
        <v>280</v>
      </c>
      <c r="E750">
        <v>47</v>
      </c>
      <c r="F750">
        <v>618</v>
      </c>
      <c r="G750" t="s">
        <v>155</v>
      </c>
      <c r="H750">
        <v>42713.226110000003</v>
      </c>
      <c r="J750" t="s">
        <v>148</v>
      </c>
      <c r="K750" t="s">
        <v>148</v>
      </c>
      <c r="L750">
        <v>1.1000000000000001</v>
      </c>
      <c r="M750" t="s">
        <v>149</v>
      </c>
      <c r="N750">
        <v>3</v>
      </c>
      <c r="O750">
        <v>4.5999999999999996</v>
      </c>
      <c r="P750">
        <v>3</v>
      </c>
      <c r="Q750">
        <v>1950</v>
      </c>
      <c r="R750">
        <v>0.295022593</v>
      </c>
      <c r="S750" t="s">
        <v>150</v>
      </c>
      <c r="T750">
        <v>19</v>
      </c>
      <c r="U750">
        <v>1</v>
      </c>
      <c r="V750">
        <v>19</v>
      </c>
      <c r="W750">
        <v>0</v>
      </c>
      <c r="X750" t="s">
        <v>149</v>
      </c>
      <c r="Y750" t="s">
        <v>157</v>
      </c>
    </row>
    <row r="751" spans="1:25">
      <c r="A751" t="s">
        <v>932</v>
      </c>
      <c r="B751" s="113">
        <v>44737</v>
      </c>
      <c r="C751" t="s">
        <v>162</v>
      </c>
      <c r="D751" t="s">
        <v>163</v>
      </c>
      <c r="E751">
        <v>47</v>
      </c>
      <c r="F751">
        <v>763</v>
      </c>
      <c r="G751" t="s">
        <v>169</v>
      </c>
      <c r="H751">
        <v>50758.699350000003</v>
      </c>
      <c r="I751">
        <v>50758.699350000003</v>
      </c>
      <c r="J751" t="s">
        <v>170</v>
      </c>
      <c r="K751" t="s">
        <v>170</v>
      </c>
      <c r="L751">
        <v>1.4</v>
      </c>
      <c r="M751" t="s">
        <v>149</v>
      </c>
      <c r="N751">
        <v>0</v>
      </c>
      <c r="O751">
        <v>15.1</v>
      </c>
      <c r="P751">
        <v>2</v>
      </c>
      <c r="Q751">
        <v>950</v>
      </c>
      <c r="R751">
        <v>0.44348135</v>
      </c>
      <c r="S751" t="s">
        <v>150</v>
      </c>
      <c r="T751">
        <v>9</v>
      </c>
      <c r="U751">
        <v>1</v>
      </c>
      <c r="V751">
        <v>9</v>
      </c>
      <c r="W751">
        <v>0</v>
      </c>
      <c r="X751" t="s">
        <v>151</v>
      </c>
      <c r="Y751" t="s">
        <v>152</v>
      </c>
    </row>
    <row r="752" spans="1:25">
      <c r="A752" t="s">
        <v>933</v>
      </c>
      <c r="B752" s="113">
        <v>44738</v>
      </c>
      <c r="C752" t="s">
        <v>159</v>
      </c>
      <c r="D752" t="s">
        <v>165</v>
      </c>
      <c r="E752">
        <v>31</v>
      </c>
      <c r="F752">
        <v>412</v>
      </c>
      <c r="G752" t="s">
        <v>155</v>
      </c>
      <c r="H752">
        <v>159798.22889999999</v>
      </c>
      <c r="I752">
        <v>159798.22889999999</v>
      </c>
      <c r="J752" t="s">
        <v>148</v>
      </c>
      <c r="K752" t="s">
        <v>148</v>
      </c>
      <c r="L752">
        <v>0.2</v>
      </c>
      <c r="M752" t="s">
        <v>149</v>
      </c>
      <c r="N752">
        <v>1</v>
      </c>
      <c r="O752">
        <v>15.9</v>
      </c>
      <c r="P752">
        <v>3</v>
      </c>
      <c r="Q752">
        <v>1200</v>
      </c>
      <c r="R752">
        <v>0.580611184</v>
      </c>
      <c r="S752" t="s">
        <v>150</v>
      </c>
      <c r="T752">
        <v>16</v>
      </c>
      <c r="U752">
        <v>1</v>
      </c>
      <c r="V752">
        <v>16</v>
      </c>
      <c r="W752">
        <v>0</v>
      </c>
      <c r="X752" t="s">
        <v>149</v>
      </c>
      <c r="Y752" t="s">
        <v>157</v>
      </c>
    </row>
    <row r="753" spans="1:25">
      <c r="A753" t="s">
        <v>934</v>
      </c>
      <c r="B753" s="113">
        <v>44740</v>
      </c>
      <c r="C753" t="s">
        <v>162</v>
      </c>
      <c r="D753" t="s">
        <v>179</v>
      </c>
      <c r="E753">
        <v>39</v>
      </c>
      <c r="F753">
        <v>662</v>
      </c>
      <c r="G753" t="s">
        <v>155</v>
      </c>
      <c r="H753">
        <v>92671.695860000007</v>
      </c>
      <c r="J753" t="s">
        <v>148</v>
      </c>
      <c r="K753" t="s">
        <v>148</v>
      </c>
      <c r="L753">
        <v>5.3</v>
      </c>
      <c r="M753" t="s">
        <v>149</v>
      </c>
      <c r="N753">
        <v>1</v>
      </c>
      <c r="O753">
        <v>1.4</v>
      </c>
      <c r="P753">
        <v>4</v>
      </c>
      <c r="Q753">
        <v>1500</v>
      </c>
      <c r="R753">
        <v>0.70290905400000003</v>
      </c>
      <c r="S753" t="s">
        <v>150</v>
      </c>
      <c r="T753">
        <v>19</v>
      </c>
      <c r="U753">
        <v>0</v>
      </c>
      <c r="V753">
        <v>19</v>
      </c>
      <c r="W753">
        <v>0</v>
      </c>
      <c r="X753" t="s">
        <v>149</v>
      </c>
      <c r="Y753" t="s">
        <v>157</v>
      </c>
    </row>
    <row r="754" spans="1:25">
      <c r="A754" t="s">
        <v>935</v>
      </c>
      <c r="B754" s="113">
        <v>44742</v>
      </c>
      <c r="C754" t="s">
        <v>159</v>
      </c>
      <c r="D754" t="s">
        <v>165</v>
      </c>
      <c r="E754">
        <v>48</v>
      </c>
      <c r="F754">
        <v>699</v>
      </c>
      <c r="G754" t="s">
        <v>169</v>
      </c>
      <c r="H754">
        <v>25803.464800000002</v>
      </c>
      <c r="I754">
        <v>25803.464800000002</v>
      </c>
      <c r="J754" t="s">
        <v>148</v>
      </c>
      <c r="K754" t="s">
        <v>148</v>
      </c>
      <c r="L754">
        <v>0.4</v>
      </c>
      <c r="M754" t="s">
        <v>149</v>
      </c>
      <c r="N754">
        <v>4</v>
      </c>
      <c r="O754">
        <v>8.1999999999999993</v>
      </c>
      <c r="P754">
        <v>2</v>
      </c>
      <c r="Q754">
        <v>1000</v>
      </c>
      <c r="R754">
        <v>0.80725080800000004</v>
      </c>
      <c r="S754" t="s">
        <v>150</v>
      </c>
      <c r="T754">
        <v>19</v>
      </c>
      <c r="U754">
        <v>0</v>
      </c>
      <c r="V754">
        <v>19</v>
      </c>
      <c r="W754">
        <v>0</v>
      </c>
      <c r="X754" t="s">
        <v>149</v>
      </c>
      <c r="Y754" t="s">
        <v>157</v>
      </c>
    </row>
    <row r="755" spans="1:25">
      <c r="A755" t="s">
        <v>936</v>
      </c>
      <c r="B755" s="113">
        <v>44742</v>
      </c>
      <c r="C755" t="s">
        <v>162</v>
      </c>
      <c r="D755" t="s">
        <v>163</v>
      </c>
      <c r="E755">
        <v>31</v>
      </c>
      <c r="F755">
        <v>556</v>
      </c>
      <c r="G755" t="s">
        <v>155</v>
      </c>
      <c r="H755">
        <v>40873.738299999997</v>
      </c>
      <c r="I755">
        <v>40873.738299999997</v>
      </c>
      <c r="J755" t="s">
        <v>148</v>
      </c>
      <c r="K755" t="s">
        <v>148</v>
      </c>
      <c r="L755">
        <v>4</v>
      </c>
      <c r="M755" t="s">
        <v>149</v>
      </c>
      <c r="N755">
        <v>5</v>
      </c>
      <c r="O755">
        <v>2.2999999999999998</v>
      </c>
      <c r="P755">
        <v>4</v>
      </c>
      <c r="Q755">
        <v>1950</v>
      </c>
      <c r="R755">
        <v>0.89097099000000002</v>
      </c>
      <c r="S755" t="s">
        <v>198</v>
      </c>
      <c r="Y755" t="s">
        <v>199</v>
      </c>
    </row>
    <row r="756" spans="1:25">
      <c r="A756" t="s">
        <v>937</v>
      </c>
      <c r="B756" s="113">
        <v>44743</v>
      </c>
      <c r="C756" t="s">
        <v>159</v>
      </c>
      <c r="D756" t="s">
        <v>197</v>
      </c>
      <c r="E756">
        <v>39</v>
      </c>
      <c r="F756">
        <v>575</v>
      </c>
      <c r="G756" t="s">
        <v>176</v>
      </c>
      <c r="H756">
        <v>89456.045589999994</v>
      </c>
      <c r="I756">
        <v>89456.045589999994</v>
      </c>
      <c r="J756" t="s">
        <v>148</v>
      </c>
      <c r="K756" t="s">
        <v>148</v>
      </c>
      <c r="L756">
        <v>6.5</v>
      </c>
      <c r="M756" t="s">
        <v>149</v>
      </c>
      <c r="N756">
        <v>2</v>
      </c>
      <c r="O756">
        <v>6.9</v>
      </c>
      <c r="P756">
        <v>2</v>
      </c>
      <c r="Q756">
        <v>1150</v>
      </c>
      <c r="R756">
        <v>0.95193093200000001</v>
      </c>
      <c r="S756" t="s">
        <v>150</v>
      </c>
      <c r="T756">
        <v>10</v>
      </c>
      <c r="U756">
        <v>0</v>
      </c>
      <c r="V756">
        <v>10</v>
      </c>
      <c r="W756">
        <v>0</v>
      </c>
      <c r="X756" t="s">
        <v>151</v>
      </c>
      <c r="Y756" t="s">
        <v>152</v>
      </c>
    </row>
    <row r="757" spans="1:25">
      <c r="A757" t="s">
        <v>938</v>
      </c>
      <c r="B757" s="113">
        <v>44745</v>
      </c>
      <c r="C757" t="s">
        <v>162</v>
      </c>
      <c r="D757" t="s">
        <v>179</v>
      </c>
      <c r="E757">
        <v>45</v>
      </c>
      <c r="F757">
        <v>846</v>
      </c>
      <c r="G757" t="s">
        <v>176</v>
      </c>
      <c r="H757">
        <v>58398.020940000002</v>
      </c>
      <c r="I757">
        <v>58398.020940000002</v>
      </c>
      <c r="J757" t="s">
        <v>148</v>
      </c>
      <c r="K757" t="s">
        <v>148</v>
      </c>
      <c r="L757">
        <v>1.8</v>
      </c>
      <c r="M757" t="s">
        <v>149</v>
      </c>
      <c r="N757">
        <v>5</v>
      </c>
      <c r="O757">
        <v>3.9</v>
      </c>
      <c r="P757">
        <v>3</v>
      </c>
      <c r="Q757">
        <v>800</v>
      </c>
      <c r="R757">
        <v>0.988573386</v>
      </c>
      <c r="S757" t="s">
        <v>150</v>
      </c>
      <c r="T757">
        <v>8</v>
      </c>
      <c r="U757">
        <v>2</v>
      </c>
      <c r="V757">
        <v>8</v>
      </c>
      <c r="W757">
        <v>0</v>
      </c>
      <c r="X757" t="s">
        <v>151</v>
      </c>
      <c r="Y757" t="s">
        <v>152</v>
      </c>
    </row>
    <row r="758" spans="1:25">
      <c r="A758" t="s">
        <v>939</v>
      </c>
      <c r="B758" s="113">
        <v>44746</v>
      </c>
      <c r="C758" t="s">
        <v>162</v>
      </c>
      <c r="D758" t="s">
        <v>193</v>
      </c>
      <c r="E758">
        <v>22</v>
      </c>
      <c r="F758">
        <v>554</v>
      </c>
      <c r="G758" t="s">
        <v>147</v>
      </c>
      <c r="H758">
        <v>41258.857459999999</v>
      </c>
      <c r="I758">
        <v>41258.857459999999</v>
      </c>
      <c r="J758" t="s">
        <v>156</v>
      </c>
      <c r="K758" t="s">
        <v>156</v>
      </c>
      <c r="L758">
        <v>0.2</v>
      </c>
      <c r="M758" t="s">
        <v>149</v>
      </c>
      <c r="N758">
        <v>6</v>
      </c>
      <c r="O758">
        <v>2.4</v>
      </c>
      <c r="P758">
        <v>3</v>
      </c>
      <c r="Q758">
        <v>1350</v>
      </c>
      <c r="R758">
        <v>0.99996230399999997</v>
      </c>
      <c r="S758" t="s">
        <v>198</v>
      </c>
      <c r="Y758" t="s">
        <v>199</v>
      </c>
    </row>
    <row r="759" spans="1:25">
      <c r="A759" t="s">
        <v>940</v>
      </c>
      <c r="B759" s="113">
        <v>44746</v>
      </c>
      <c r="C759" t="s">
        <v>162</v>
      </c>
      <c r="D759" t="s">
        <v>179</v>
      </c>
      <c r="E759">
        <v>33</v>
      </c>
      <c r="F759">
        <v>562</v>
      </c>
      <c r="G759" t="s">
        <v>176</v>
      </c>
      <c r="H759">
        <v>145616.087</v>
      </c>
      <c r="I759">
        <v>145616.087</v>
      </c>
      <c r="J759" t="s">
        <v>148</v>
      </c>
      <c r="K759" t="s">
        <v>166</v>
      </c>
      <c r="L759">
        <v>7.8</v>
      </c>
      <c r="M759" t="s">
        <v>149</v>
      </c>
      <c r="N759">
        <v>3</v>
      </c>
      <c r="O759">
        <v>1.4</v>
      </c>
      <c r="P759">
        <v>3</v>
      </c>
      <c r="Q759">
        <v>800</v>
      </c>
      <c r="R759">
        <v>0.98580675299999998</v>
      </c>
      <c r="S759" t="s">
        <v>150</v>
      </c>
      <c r="T759">
        <v>19</v>
      </c>
      <c r="U759">
        <v>1</v>
      </c>
      <c r="V759">
        <v>19</v>
      </c>
      <c r="W759">
        <v>0</v>
      </c>
      <c r="X759" t="s">
        <v>149</v>
      </c>
      <c r="Y759" t="s">
        <v>157</v>
      </c>
    </row>
    <row r="760" spans="1:25">
      <c r="A760" t="s">
        <v>941</v>
      </c>
      <c r="B760" s="113">
        <v>44748</v>
      </c>
      <c r="C760" t="s">
        <v>145</v>
      </c>
      <c r="D760" t="s">
        <v>154</v>
      </c>
      <c r="E760">
        <v>25</v>
      </c>
      <c r="F760">
        <v>699</v>
      </c>
      <c r="G760" t="s">
        <v>169</v>
      </c>
      <c r="H760">
        <v>11285.7559</v>
      </c>
      <c r="J760" t="s">
        <v>148</v>
      </c>
      <c r="K760" t="s">
        <v>148</v>
      </c>
      <c r="L760">
        <v>8.4</v>
      </c>
      <c r="M760" t="s">
        <v>149</v>
      </c>
      <c r="N760">
        <v>4</v>
      </c>
      <c r="O760">
        <v>0.4</v>
      </c>
      <c r="P760">
        <v>3</v>
      </c>
      <c r="Q760">
        <v>1350</v>
      </c>
      <c r="R760">
        <v>0.94646834000000002</v>
      </c>
      <c r="S760" t="s">
        <v>150</v>
      </c>
      <c r="T760">
        <v>12</v>
      </c>
      <c r="U760">
        <v>0</v>
      </c>
      <c r="V760">
        <v>12</v>
      </c>
      <c r="W760">
        <v>0</v>
      </c>
      <c r="X760" t="s">
        <v>151</v>
      </c>
      <c r="Y760" t="s">
        <v>152</v>
      </c>
    </row>
    <row r="761" spans="1:25">
      <c r="A761" t="s">
        <v>942</v>
      </c>
      <c r="B761" s="113">
        <v>44750</v>
      </c>
      <c r="C761" t="s">
        <v>162</v>
      </c>
      <c r="D761" t="s">
        <v>179</v>
      </c>
      <c r="E761">
        <v>33</v>
      </c>
      <c r="F761">
        <v>555</v>
      </c>
      <c r="G761" t="s">
        <v>147</v>
      </c>
      <c r="H761">
        <v>31351.469639999999</v>
      </c>
      <c r="I761">
        <v>31351.469639999999</v>
      </c>
      <c r="J761" t="s">
        <v>148</v>
      </c>
      <c r="K761" t="s">
        <v>148</v>
      </c>
      <c r="L761">
        <v>1.4</v>
      </c>
      <c r="M761" t="s">
        <v>149</v>
      </c>
      <c r="N761">
        <v>3</v>
      </c>
      <c r="O761">
        <v>1.3</v>
      </c>
      <c r="P761">
        <v>3</v>
      </c>
      <c r="Q761">
        <v>950</v>
      </c>
      <c r="R761">
        <v>0.88295198399999997</v>
      </c>
      <c r="S761" t="s">
        <v>150</v>
      </c>
      <c r="T761">
        <v>11</v>
      </c>
      <c r="U761">
        <v>0</v>
      </c>
      <c r="V761">
        <v>11</v>
      </c>
      <c r="W761">
        <v>0</v>
      </c>
      <c r="X761" t="s">
        <v>151</v>
      </c>
      <c r="Y761" t="s">
        <v>152</v>
      </c>
    </row>
    <row r="762" spans="1:25">
      <c r="A762" t="s">
        <v>943</v>
      </c>
      <c r="B762" s="113">
        <v>44750</v>
      </c>
      <c r="C762" t="s">
        <v>159</v>
      </c>
      <c r="D762" t="s">
        <v>197</v>
      </c>
      <c r="E762">
        <v>35</v>
      </c>
      <c r="F762">
        <v>819</v>
      </c>
      <c r="G762" t="s">
        <v>169</v>
      </c>
      <c r="H762">
        <v>20826.315129999999</v>
      </c>
      <c r="J762" t="s">
        <v>148</v>
      </c>
      <c r="K762" t="s">
        <v>148</v>
      </c>
      <c r="L762">
        <v>1</v>
      </c>
      <c r="M762" t="s">
        <v>149</v>
      </c>
      <c r="N762">
        <v>4</v>
      </c>
      <c r="O762">
        <v>2.1</v>
      </c>
      <c r="P762">
        <v>2</v>
      </c>
      <c r="Q762">
        <v>1400</v>
      </c>
      <c r="R762">
        <v>0.79688023699999999</v>
      </c>
      <c r="S762" t="s">
        <v>150</v>
      </c>
      <c r="T762">
        <v>16</v>
      </c>
      <c r="U762">
        <v>0</v>
      </c>
      <c r="V762">
        <v>16</v>
      </c>
      <c r="W762">
        <v>0</v>
      </c>
      <c r="X762" t="s">
        <v>149</v>
      </c>
      <c r="Y762" t="s">
        <v>157</v>
      </c>
    </row>
    <row r="763" spans="1:25">
      <c r="A763" t="s">
        <v>944</v>
      </c>
      <c r="B763" s="113">
        <v>44751</v>
      </c>
      <c r="C763" t="s">
        <v>162</v>
      </c>
      <c r="D763" t="s">
        <v>163</v>
      </c>
      <c r="E763">
        <v>43</v>
      </c>
      <c r="F763">
        <v>752</v>
      </c>
      <c r="G763" t="s">
        <v>147</v>
      </c>
      <c r="H763">
        <v>69814.874710000004</v>
      </c>
      <c r="I763">
        <v>69814.874710000004</v>
      </c>
      <c r="J763" t="s">
        <v>156</v>
      </c>
      <c r="K763" t="s">
        <v>156</v>
      </c>
      <c r="L763">
        <v>0.1</v>
      </c>
      <c r="M763" t="s">
        <v>151</v>
      </c>
      <c r="N763">
        <v>2</v>
      </c>
      <c r="O763">
        <v>10.4</v>
      </c>
      <c r="P763">
        <v>4</v>
      </c>
      <c r="Q763">
        <v>1700</v>
      </c>
      <c r="R763">
        <v>0.69045183899999996</v>
      </c>
      <c r="S763" t="s">
        <v>198</v>
      </c>
      <c r="Y763" t="s">
        <v>199</v>
      </c>
    </row>
    <row r="764" spans="1:25">
      <c r="A764" t="s">
        <v>945</v>
      </c>
      <c r="B764" s="113">
        <v>44752</v>
      </c>
      <c r="C764" t="s">
        <v>159</v>
      </c>
      <c r="D764" t="s">
        <v>209</v>
      </c>
      <c r="E764">
        <v>38</v>
      </c>
      <c r="F764">
        <v>662</v>
      </c>
      <c r="G764" t="s">
        <v>155</v>
      </c>
      <c r="H764">
        <v>91502.786259999993</v>
      </c>
      <c r="I764">
        <v>91502.786259999993</v>
      </c>
      <c r="J764" t="s">
        <v>148</v>
      </c>
      <c r="K764" t="s">
        <v>148</v>
      </c>
      <c r="L764">
        <v>0.4</v>
      </c>
      <c r="M764" t="s">
        <v>151</v>
      </c>
      <c r="N764">
        <v>2</v>
      </c>
      <c r="O764">
        <v>0.8</v>
      </c>
      <c r="P764">
        <v>4</v>
      </c>
      <c r="Q764">
        <v>800</v>
      </c>
      <c r="R764">
        <v>0.56638555000000002</v>
      </c>
      <c r="S764" t="s">
        <v>198</v>
      </c>
      <c r="Y764" t="s">
        <v>199</v>
      </c>
    </row>
    <row r="765" spans="1:25">
      <c r="A765" t="s">
        <v>946</v>
      </c>
      <c r="B765" s="113">
        <v>44754</v>
      </c>
      <c r="C765" t="s">
        <v>162</v>
      </c>
      <c r="D765" t="s">
        <v>163</v>
      </c>
      <c r="E765">
        <v>34</v>
      </c>
      <c r="F765">
        <v>785</v>
      </c>
      <c r="G765" t="s">
        <v>176</v>
      </c>
      <c r="H765">
        <v>68934.812479999993</v>
      </c>
      <c r="I765">
        <v>68934.812479999993</v>
      </c>
      <c r="J765" t="s">
        <v>156</v>
      </c>
      <c r="K765" t="s">
        <v>156</v>
      </c>
      <c r="L765">
        <v>12.8</v>
      </c>
      <c r="M765" t="s">
        <v>149</v>
      </c>
      <c r="N765">
        <v>1</v>
      </c>
      <c r="O765">
        <v>1.1000000000000001</v>
      </c>
      <c r="P765">
        <v>2</v>
      </c>
      <c r="Q765">
        <v>1200</v>
      </c>
      <c r="R765">
        <v>0.42785069599999997</v>
      </c>
      <c r="S765" t="s">
        <v>150</v>
      </c>
      <c r="T765">
        <v>12</v>
      </c>
      <c r="U765">
        <v>1</v>
      </c>
      <c r="V765">
        <v>12</v>
      </c>
      <c r="W765">
        <v>0</v>
      </c>
      <c r="X765" t="s">
        <v>149</v>
      </c>
      <c r="Y765" t="s">
        <v>157</v>
      </c>
    </row>
    <row r="766" spans="1:25">
      <c r="A766" t="s">
        <v>947</v>
      </c>
      <c r="B766" s="113">
        <v>44754</v>
      </c>
      <c r="C766" t="s">
        <v>159</v>
      </c>
      <c r="D766" t="s">
        <v>160</v>
      </c>
      <c r="E766">
        <v>52</v>
      </c>
      <c r="F766">
        <v>717</v>
      </c>
      <c r="G766" t="s">
        <v>176</v>
      </c>
      <c r="H766">
        <v>37262.337270000004</v>
      </c>
      <c r="I766">
        <v>37262.337270000004</v>
      </c>
      <c r="J766" t="s">
        <v>148</v>
      </c>
      <c r="K766" t="s">
        <v>148</v>
      </c>
      <c r="L766">
        <v>14</v>
      </c>
      <c r="M766" t="s">
        <v>149</v>
      </c>
      <c r="N766">
        <v>2</v>
      </c>
      <c r="O766">
        <v>2.8</v>
      </c>
      <c r="P766">
        <v>3</v>
      </c>
      <c r="Q766">
        <v>900</v>
      </c>
      <c r="R766">
        <v>0.27838621099999999</v>
      </c>
      <c r="S766" t="s">
        <v>150</v>
      </c>
      <c r="T766">
        <v>22</v>
      </c>
      <c r="U766">
        <v>0</v>
      </c>
      <c r="V766">
        <v>22</v>
      </c>
      <c r="W766">
        <v>0</v>
      </c>
      <c r="X766" t="s">
        <v>149</v>
      </c>
      <c r="Y766" t="s">
        <v>157</v>
      </c>
    </row>
    <row r="767" spans="1:25">
      <c r="A767" t="s">
        <v>948</v>
      </c>
      <c r="B767" s="113">
        <v>44758</v>
      </c>
      <c r="C767" t="s">
        <v>162</v>
      </c>
      <c r="D767" t="s">
        <v>179</v>
      </c>
      <c r="E767">
        <v>45</v>
      </c>
      <c r="F767">
        <v>576</v>
      </c>
      <c r="G767" t="s">
        <v>169</v>
      </c>
      <c r="H767">
        <v>48345.098080000003</v>
      </c>
      <c r="I767">
        <v>48345.098080000003</v>
      </c>
      <c r="J767" t="s">
        <v>148</v>
      </c>
      <c r="K767" t="s">
        <v>148</v>
      </c>
      <c r="L767">
        <v>17</v>
      </c>
      <c r="M767" t="s">
        <v>149</v>
      </c>
      <c r="N767">
        <v>4</v>
      </c>
      <c r="O767">
        <v>1.2</v>
      </c>
      <c r="P767">
        <v>3</v>
      </c>
      <c r="Q767">
        <v>950</v>
      </c>
      <c r="R767">
        <v>0.12181022900000001</v>
      </c>
      <c r="S767" t="s">
        <v>198</v>
      </c>
      <c r="Y767" t="s">
        <v>199</v>
      </c>
    </row>
    <row r="768" spans="1:25">
      <c r="A768" t="s">
        <v>949</v>
      </c>
      <c r="B768" s="113">
        <v>44758</v>
      </c>
      <c r="C768" t="s">
        <v>162</v>
      </c>
      <c r="D768" t="s">
        <v>190</v>
      </c>
      <c r="E768">
        <v>28</v>
      </c>
      <c r="F768">
        <v>708</v>
      </c>
      <c r="G768" t="s">
        <v>169</v>
      </c>
      <c r="H768">
        <v>25322.127179999999</v>
      </c>
      <c r="I768">
        <v>25322.127179999999</v>
      </c>
      <c r="J768" t="s">
        <v>148</v>
      </c>
      <c r="K768" t="s">
        <v>148</v>
      </c>
      <c r="L768">
        <v>4.9000000000000004</v>
      </c>
      <c r="M768" t="s">
        <v>149</v>
      </c>
      <c r="N768">
        <v>2</v>
      </c>
      <c r="O768">
        <v>1.6</v>
      </c>
      <c r="P768">
        <v>3</v>
      </c>
      <c r="Q768">
        <v>1050</v>
      </c>
      <c r="R768">
        <v>3.7877447000000002E-2</v>
      </c>
      <c r="S768" t="s">
        <v>150</v>
      </c>
      <c r="T768">
        <v>14</v>
      </c>
      <c r="U768">
        <v>2</v>
      </c>
      <c r="V768">
        <v>14</v>
      </c>
      <c r="W768">
        <v>0</v>
      </c>
      <c r="X768" t="s">
        <v>151</v>
      </c>
      <c r="Y768" t="s">
        <v>152</v>
      </c>
    </row>
    <row r="769" spans="1:25">
      <c r="A769" t="s">
        <v>950</v>
      </c>
      <c r="B769" s="113">
        <v>44761</v>
      </c>
      <c r="C769" t="s">
        <v>145</v>
      </c>
      <c r="D769" t="s">
        <v>280</v>
      </c>
      <c r="E769">
        <v>37</v>
      </c>
      <c r="F769">
        <v>625</v>
      </c>
      <c r="G769" t="s">
        <v>169</v>
      </c>
      <c r="H769">
        <v>58273.300770000002</v>
      </c>
      <c r="J769" t="s">
        <v>148</v>
      </c>
      <c r="K769" t="s">
        <v>148</v>
      </c>
      <c r="L769">
        <v>7.9</v>
      </c>
      <c r="M769" t="s">
        <v>149</v>
      </c>
      <c r="N769">
        <v>2</v>
      </c>
      <c r="O769">
        <v>2.4</v>
      </c>
      <c r="P769">
        <v>3</v>
      </c>
      <c r="Q769">
        <v>1200</v>
      </c>
      <c r="R769">
        <v>0.19659752799999999</v>
      </c>
      <c r="S769" t="s">
        <v>150</v>
      </c>
      <c r="T769">
        <v>15</v>
      </c>
      <c r="U769">
        <v>1</v>
      </c>
      <c r="V769">
        <v>15</v>
      </c>
      <c r="W769">
        <v>0</v>
      </c>
      <c r="X769" t="s">
        <v>151</v>
      </c>
      <c r="Y769" t="s">
        <v>152</v>
      </c>
    </row>
    <row r="770" spans="1:25">
      <c r="A770" t="s">
        <v>951</v>
      </c>
      <c r="B770" s="113">
        <v>44761</v>
      </c>
      <c r="C770" t="s">
        <v>162</v>
      </c>
      <c r="D770" t="s">
        <v>179</v>
      </c>
      <c r="E770">
        <v>38</v>
      </c>
      <c r="F770">
        <v>817</v>
      </c>
      <c r="G770" t="s">
        <v>155</v>
      </c>
      <c r="H770">
        <v>8020.9436240000005</v>
      </c>
      <c r="I770">
        <v>8020.9436240000005</v>
      </c>
      <c r="J770" t="s">
        <v>148</v>
      </c>
      <c r="K770" t="s">
        <v>148</v>
      </c>
      <c r="L770">
        <v>1</v>
      </c>
      <c r="M770" t="s">
        <v>149</v>
      </c>
      <c r="N770">
        <v>1</v>
      </c>
      <c r="O770">
        <v>8.6999999999999993</v>
      </c>
      <c r="P770">
        <v>3</v>
      </c>
      <c r="Q770">
        <v>1250</v>
      </c>
      <c r="R770">
        <v>0.35029543899999999</v>
      </c>
      <c r="S770" t="s">
        <v>198</v>
      </c>
      <c r="Y770" t="s">
        <v>199</v>
      </c>
    </row>
    <row r="771" spans="1:25">
      <c r="A771" t="s">
        <v>952</v>
      </c>
      <c r="B771" s="113">
        <v>44763</v>
      </c>
      <c r="C771" t="s">
        <v>162</v>
      </c>
      <c r="D771" t="s">
        <v>195</v>
      </c>
      <c r="E771">
        <v>68</v>
      </c>
      <c r="F771">
        <v>723</v>
      </c>
      <c r="G771" t="s">
        <v>147</v>
      </c>
      <c r="H771">
        <v>22379.70709</v>
      </c>
      <c r="I771">
        <v>22379.70709</v>
      </c>
      <c r="J771" t="s">
        <v>170</v>
      </c>
      <c r="K771" t="s">
        <v>166</v>
      </c>
      <c r="L771">
        <v>1.9</v>
      </c>
      <c r="M771" t="s">
        <v>149</v>
      </c>
      <c r="N771">
        <v>4</v>
      </c>
      <c r="O771">
        <v>17.7</v>
      </c>
      <c r="P771">
        <v>3</v>
      </c>
      <c r="Q771">
        <v>1600</v>
      </c>
      <c r="R771">
        <v>0.49504490200000001</v>
      </c>
      <c r="S771" t="s">
        <v>198</v>
      </c>
      <c r="Y771" t="s">
        <v>199</v>
      </c>
    </row>
    <row r="772" spans="1:25">
      <c r="A772" t="s">
        <v>953</v>
      </c>
      <c r="B772" s="113">
        <v>44765</v>
      </c>
      <c r="C772" t="s">
        <v>162</v>
      </c>
      <c r="D772" t="s">
        <v>163</v>
      </c>
      <c r="E772">
        <v>44</v>
      </c>
      <c r="F772">
        <v>723</v>
      </c>
      <c r="G772" t="s">
        <v>147</v>
      </c>
      <c r="H772">
        <v>95157.511310000002</v>
      </c>
      <c r="I772">
        <v>95157.511310000002</v>
      </c>
      <c r="J772" t="s">
        <v>183</v>
      </c>
      <c r="K772" t="s">
        <v>183</v>
      </c>
      <c r="L772">
        <v>6.7</v>
      </c>
      <c r="M772" t="s">
        <v>149</v>
      </c>
      <c r="N772">
        <v>3</v>
      </c>
      <c r="O772">
        <v>3.6</v>
      </c>
      <c r="P772">
        <v>4</v>
      </c>
      <c r="Q772">
        <v>1300</v>
      </c>
      <c r="R772">
        <v>0.627148229</v>
      </c>
      <c r="S772" t="s">
        <v>150</v>
      </c>
      <c r="T772">
        <v>21</v>
      </c>
      <c r="U772">
        <v>0</v>
      </c>
      <c r="V772">
        <v>21</v>
      </c>
      <c r="W772">
        <v>0</v>
      </c>
      <c r="X772" t="s">
        <v>149</v>
      </c>
      <c r="Y772" t="s">
        <v>157</v>
      </c>
    </row>
    <row r="773" spans="1:25">
      <c r="A773" t="s">
        <v>954</v>
      </c>
      <c r="B773" s="113">
        <v>44769</v>
      </c>
      <c r="C773" t="s">
        <v>145</v>
      </c>
      <c r="D773" t="s">
        <v>154</v>
      </c>
      <c r="E773">
        <v>26</v>
      </c>
      <c r="F773">
        <v>631</v>
      </c>
      <c r="G773" t="s">
        <v>155</v>
      </c>
      <c r="H773">
        <v>34925.7425</v>
      </c>
      <c r="I773">
        <v>34925.7425</v>
      </c>
      <c r="J773" t="s">
        <v>148</v>
      </c>
      <c r="K773" t="s">
        <v>148</v>
      </c>
      <c r="L773">
        <v>2.7</v>
      </c>
      <c r="M773" t="s">
        <v>149</v>
      </c>
      <c r="N773">
        <v>4</v>
      </c>
      <c r="O773">
        <v>2.4</v>
      </c>
      <c r="P773">
        <v>3</v>
      </c>
      <c r="Q773">
        <v>1100</v>
      </c>
      <c r="R773">
        <v>0.74323078200000003</v>
      </c>
      <c r="S773" t="s">
        <v>150</v>
      </c>
      <c r="T773">
        <v>18</v>
      </c>
      <c r="U773">
        <v>0</v>
      </c>
      <c r="V773">
        <v>18</v>
      </c>
      <c r="W773">
        <v>0</v>
      </c>
      <c r="X773" t="s">
        <v>149</v>
      </c>
      <c r="Y773" t="s">
        <v>157</v>
      </c>
    </row>
    <row r="774" spans="1:25">
      <c r="A774" t="s">
        <v>955</v>
      </c>
      <c r="B774" s="113">
        <v>44775</v>
      </c>
      <c r="C774" t="s">
        <v>162</v>
      </c>
      <c r="D774" t="s">
        <v>195</v>
      </c>
      <c r="E774">
        <v>34</v>
      </c>
      <c r="F774">
        <v>577</v>
      </c>
      <c r="G774" t="s">
        <v>176</v>
      </c>
      <c r="H774">
        <v>45846.86679</v>
      </c>
      <c r="I774">
        <v>45846.86679</v>
      </c>
      <c r="J774" t="s">
        <v>148</v>
      </c>
      <c r="K774" t="s">
        <v>148</v>
      </c>
      <c r="L774">
        <v>12.2</v>
      </c>
      <c r="M774" t="s">
        <v>149</v>
      </c>
      <c r="N774">
        <v>2</v>
      </c>
      <c r="O774">
        <v>0.7</v>
      </c>
      <c r="P774">
        <v>2</v>
      </c>
      <c r="Q774">
        <v>1750</v>
      </c>
      <c r="R774">
        <v>0.84032718299999998</v>
      </c>
      <c r="S774" t="s">
        <v>150</v>
      </c>
      <c r="T774">
        <v>22</v>
      </c>
      <c r="U774">
        <v>1</v>
      </c>
      <c r="V774">
        <v>22</v>
      </c>
      <c r="W774">
        <v>0</v>
      </c>
      <c r="X774" t="s">
        <v>149</v>
      </c>
      <c r="Y774" t="s">
        <v>157</v>
      </c>
    </row>
    <row r="775" spans="1:25">
      <c r="A775" t="s">
        <v>956</v>
      </c>
      <c r="B775" s="113">
        <v>44781</v>
      </c>
      <c r="C775" t="s">
        <v>159</v>
      </c>
      <c r="D775" t="s">
        <v>165</v>
      </c>
      <c r="E775">
        <v>45</v>
      </c>
      <c r="F775">
        <v>665</v>
      </c>
      <c r="G775" t="s">
        <v>147</v>
      </c>
      <c r="H775">
        <v>75155.305729999993</v>
      </c>
      <c r="I775">
        <v>75155.305729999993</v>
      </c>
      <c r="J775" t="s">
        <v>148</v>
      </c>
      <c r="K775" t="s">
        <v>148</v>
      </c>
      <c r="L775">
        <v>9.8000000000000007</v>
      </c>
      <c r="M775" t="s">
        <v>149</v>
      </c>
      <c r="N775">
        <v>2</v>
      </c>
      <c r="O775">
        <v>6.4</v>
      </c>
      <c r="P775">
        <v>1</v>
      </c>
      <c r="Q775">
        <v>1450</v>
      </c>
      <c r="R775">
        <v>0.91595706200000004</v>
      </c>
      <c r="S775" t="s">
        <v>150</v>
      </c>
      <c r="T775">
        <v>18</v>
      </c>
      <c r="U775">
        <v>0</v>
      </c>
      <c r="V775">
        <v>18</v>
      </c>
      <c r="W775">
        <v>0</v>
      </c>
      <c r="X775" t="s">
        <v>149</v>
      </c>
      <c r="Y775" t="s">
        <v>157</v>
      </c>
    </row>
    <row r="776" spans="1:25">
      <c r="A776" t="s">
        <v>957</v>
      </c>
      <c r="B776" s="113">
        <v>44784</v>
      </c>
      <c r="C776" t="s">
        <v>162</v>
      </c>
      <c r="D776" t="s">
        <v>179</v>
      </c>
      <c r="E776">
        <v>39</v>
      </c>
      <c r="F776">
        <v>754</v>
      </c>
      <c r="G776" t="s">
        <v>147</v>
      </c>
      <c r="H776">
        <v>104131.2607</v>
      </c>
      <c r="J776" t="s">
        <v>148</v>
      </c>
      <c r="K776" t="s">
        <v>148</v>
      </c>
      <c r="L776">
        <v>6</v>
      </c>
      <c r="M776" t="s">
        <v>151</v>
      </c>
      <c r="N776">
        <v>6</v>
      </c>
      <c r="O776">
        <v>4.5</v>
      </c>
      <c r="P776">
        <v>2</v>
      </c>
      <c r="Q776">
        <v>1250</v>
      </c>
      <c r="R776">
        <v>0.96818842100000002</v>
      </c>
      <c r="S776" t="s">
        <v>150</v>
      </c>
      <c r="T776">
        <v>21</v>
      </c>
      <c r="U776">
        <v>0</v>
      </c>
      <c r="V776">
        <v>21</v>
      </c>
      <c r="W776">
        <v>0</v>
      </c>
      <c r="X776" t="s">
        <v>149</v>
      </c>
      <c r="Y776" t="s">
        <v>157</v>
      </c>
    </row>
    <row r="777" spans="1:25">
      <c r="A777" t="s">
        <v>958</v>
      </c>
      <c r="B777" s="113">
        <v>44785</v>
      </c>
      <c r="C777" t="s">
        <v>159</v>
      </c>
      <c r="D777" t="s">
        <v>168</v>
      </c>
      <c r="E777">
        <v>31</v>
      </c>
      <c r="F777">
        <v>743</v>
      </c>
      <c r="G777" t="s">
        <v>176</v>
      </c>
      <c r="H777">
        <v>36140.969290000001</v>
      </c>
      <c r="J777" t="s">
        <v>148</v>
      </c>
      <c r="K777" t="s">
        <v>148</v>
      </c>
      <c r="L777">
        <v>2.8</v>
      </c>
      <c r="M777" t="s">
        <v>149</v>
      </c>
      <c r="N777">
        <v>3</v>
      </c>
      <c r="O777">
        <v>4.4000000000000004</v>
      </c>
      <c r="P777">
        <v>2</v>
      </c>
      <c r="Q777">
        <v>1400</v>
      </c>
      <c r="R777">
        <v>0.99568698700000002</v>
      </c>
      <c r="S777" t="s">
        <v>150</v>
      </c>
      <c r="T777">
        <v>8</v>
      </c>
      <c r="U777">
        <v>0</v>
      </c>
      <c r="V777">
        <v>8</v>
      </c>
      <c r="W777">
        <v>0</v>
      </c>
      <c r="X777" t="s">
        <v>151</v>
      </c>
      <c r="Y777" t="s">
        <v>152</v>
      </c>
    </row>
    <row r="778" spans="1:25">
      <c r="A778" t="s">
        <v>959</v>
      </c>
      <c r="B778" s="113">
        <v>44785</v>
      </c>
      <c r="C778" t="s">
        <v>145</v>
      </c>
      <c r="D778" t="s">
        <v>154</v>
      </c>
      <c r="E778">
        <v>42</v>
      </c>
      <c r="F778">
        <v>560</v>
      </c>
      <c r="G778" t="s">
        <v>169</v>
      </c>
      <c r="H778">
        <v>56561.402410000002</v>
      </c>
      <c r="J778" t="s">
        <v>148</v>
      </c>
      <c r="K778" t="s">
        <v>148</v>
      </c>
      <c r="L778">
        <v>4.5999999999999996</v>
      </c>
      <c r="M778" t="s">
        <v>151</v>
      </c>
      <c r="N778">
        <v>2</v>
      </c>
      <c r="O778">
        <v>4.3</v>
      </c>
      <c r="P778">
        <v>1</v>
      </c>
      <c r="Q778">
        <v>1600</v>
      </c>
      <c r="R778">
        <v>0.99775029800000004</v>
      </c>
      <c r="S778" t="s">
        <v>150</v>
      </c>
      <c r="T778">
        <v>17</v>
      </c>
      <c r="U778">
        <v>0</v>
      </c>
      <c r="V778">
        <v>17</v>
      </c>
      <c r="W778">
        <v>0</v>
      </c>
      <c r="X778" t="s">
        <v>149</v>
      </c>
      <c r="Y778" t="s">
        <v>157</v>
      </c>
    </row>
    <row r="779" spans="1:25">
      <c r="A779" t="s">
        <v>960</v>
      </c>
      <c r="B779" s="113">
        <v>44786</v>
      </c>
      <c r="C779" t="s">
        <v>162</v>
      </c>
      <c r="D779" t="s">
        <v>190</v>
      </c>
      <c r="E779">
        <v>45</v>
      </c>
      <c r="F779">
        <v>811</v>
      </c>
      <c r="G779" t="s">
        <v>169</v>
      </c>
      <c r="H779">
        <v>61761.923519999997</v>
      </c>
      <c r="J779" t="s">
        <v>148</v>
      </c>
      <c r="K779" t="s">
        <v>148</v>
      </c>
      <c r="L779">
        <v>0.1</v>
      </c>
      <c r="M779" t="s">
        <v>149</v>
      </c>
      <c r="N779">
        <v>4</v>
      </c>
      <c r="O779">
        <v>18.399999999999999</v>
      </c>
      <c r="P779">
        <v>2</v>
      </c>
      <c r="Q779">
        <v>1100</v>
      </c>
      <c r="R779">
        <v>0.97432564499999996</v>
      </c>
      <c r="S779" t="s">
        <v>150</v>
      </c>
      <c r="T779">
        <v>23</v>
      </c>
      <c r="U779">
        <v>2</v>
      </c>
      <c r="V779">
        <v>23</v>
      </c>
      <c r="W779">
        <v>0</v>
      </c>
      <c r="X779" t="s">
        <v>149</v>
      </c>
      <c r="Y779" t="s">
        <v>157</v>
      </c>
    </row>
    <row r="780" spans="1:25">
      <c r="A780" t="s">
        <v>961</v>
      </c>
      <c r="B780" s="113">
        <v>44786</v>
      </c>
      <c r="C780" t="s">
        <v>159</v>
      </c>
      <c r="D780" t="s">
        <v>168</v>
      </c>
      <c r="E780">
        <v>38</v>
      </c>
      <c r="F780">
        <v>761</v>
      </c>
      <c r="G780" t="s">
        <v>176</v>
      </c>
      <c r="H780">
        <v>31843.222450000001</v>
      </c>
      <c r="I780">
        <v>31843.222450000001</v>
      </c>
      <c r="J780" t="s">
        <v>221</v>
      </c>
      <c r="K780" t="s">
        <v>221</v>
      </c>
      <c r="L780">
        <v>0.7</v>
      </c>
      <c r="M780" t="s">
        <v>149</v>
      </c>
      <c r="N780">
        <v>1</v>
      </c>
      <c r="O780">
        <v>2.8</v>
      </c>
      <c r="P780">
        <v>2</v>
      </c>
      <c r="Q780">
        <v>1150</v>
      </c>
      <c r="R780">
        <v>0.926011421</v>
      </c>
      <c r="S780" t="s">
        <v>150</v>
      </c>
      <c r="T780">
        <v>6</v>
      </c>
      <c r="U780">
        <v>0</v>
      </c>
      <c r="V780">
        <v>6</v>
      </c>
      <c r="W780">
        <v>0</v>
      </c>
      <c r="X780" t="s">
        <v>151</v>
      </c>
      <c r="Y780" t="s">
        <v>152</v>
      </c>
    </row>
    <row r="781" spans="1:25">
      <c r="A781" t="s">
        <v>962</v>
      </c>
      <c r="B781" s="113">
        <v>44790</v>
      </c>
      <c r="C781" t="s">
        <v>162</v>
      </c>
      <c r="D781" t="s">
        <v>195</v>
      </c>
      <c r="E781">
        <v>38</v>
      </c>
      <c r="F781">
        <v>785</v>
      </c>
      <c r="G781" t="s">
        <v>176</v>
      </c>
      <c r="H781">
        <v>67039.815860000002</v>
      </c>
      <c r="I781">
        <v>67039.815860000002</v>
      </c>
      <c r="J781" t="s">
        <v>148</v>
      </c>
      <c r="K781" t="s">
        <v>148</v>
      </c>
      <c r="L781">
        <v>3.2</v>
      </c>
      <c r="M781" t="s">
        <v>149</v>
      </c>
      <c r="N781">
        <v>5</v>
      </c>
      <c r="O781">
        <v>1.6</v>
      </c>
      <c r="P781">
        <v>2</v>
      </c>
      <c r="Q781">
        <v>800</v>
      </c>
      <c r="R781">
        <v>0.85404183499999997</v>
      </c>
      <c r="S781" t="s">
        <v>150</v>
      </c>
      <c r="T781">
        <v>23</v>
      </c>
      <c r="U781">
        <v>0</v>
      </c>
      <c r="V781">
        <v>23</v>
      </c>
      <c r="W781">
        <v>0</v>
      </c>
      <c r="X781" t="s">
        <v>151</v>
      </c>
      <c r="Y781" t="s">
        <v>152</v>
      </c>
    </row>
    <row r="782" spans="1:25">
      <c r="A782" t="s">
        <v>963</v>
      </c>
      <c r="B782" s="113">
        <v>44792</v>
      </c>
      <c r="C782" t="s">
        <v>159</v>
      </c>
      <c r="D782" t="s">
        <v>209</v>
      </c>
      <c r="E782">
        <v>30</v>
      </c>
      <c r="F782">
        <v>669</v>
      </c>
      <c r="G782" t="s">
        <v>155</v>
      </c>
      <c r="H782">
        <v>40486.121370000001</v>
      </c>
      <c r="I782">
        <v>40486.121370000001</v>
      </c>
      <c r="J782" t="s">
        <v>170</v>
      </c>
      <c r="K782" t="s">
        <v>170</v>
      </c>
      <c r="L782">
        <v>0.5</v>
      </c>
      <c r="M782" t="s">
        <v>149</v>
      </c>
      <c r="N782">
        <v>2</v>
      </c>
      <c r="O782">
        <v>1.5</v>
      </c>
      <c r="P782">
        <v>2</v>
      </c>
      <c r="Q782">
        <v>1650</v>
      </c>
      <c r="R782">
        <v>0.76025538000000004</v>
      </c>
      <c r="S782" t="s">
        <v>150</v>
      </c>
      <c r="T782">
        <v>8</v>
      </c>
      <c r="U782">
        <v>0</v>
      </c>
      <c r="V782">
        <v>8</v>
      </c>
      <c r="W782">
        <v>0</v>
      </c>
      <c r="X782" t="s">
        <v>151</v>
      </c>
      <c r="Y782" t="s">
        <v>152</v>
      </c>
    </row>
    <row r="783" spans="1:25">
      <c r="A783" t="s">
        <v>964</v>
      </c>
      <c r="B783" s="113">
        <v>44793</v>
      </c>
      <c r="C783" t="s">
        <v>145</v>
      </c>
      <c r="D783" t="s">
        <v>172</v>
      </c>
      <c r="E783">
        <v>46</v>
      </c>
      <c r="F783">
        <v>637</v>
      </c>
      <c r="G783" t="s">
        <v>169</v>
      </c>
      <c r="H783">
        <v>15946.12175</v>
      </c>
      <c r="I783">
        <v>15946.12175</v>
      </c>
      <c r="J783" t="s">
        <v>148</v>
      </c>
      <c r="K783" t="s">
        <v>148</v>
      </c>
      <c r="L783">
        <v>3.5</v>
      </c>
      <c r="M783" t="s">
        <v>149</v>
      </c>
      <c r="N783">
        <v>2</v>
      </c>
      <c r="O783">
        <v>11.4</v>
      </c>
      <c r="P783">
        <v>2</v>
      </c>
      <c r="Q783">
        <v>800</v>
      </c>
      <c r="R783">
        <v>0.64704787100000005</v>
      </c>
      <c r="S783" t="s">
        <v>150</v>
      </c>
      <c r="T783">
        <v>22</v>
      </c>
      <c r="U783">
        <v>0</v>
      </c>
      <c r="V783">
        <v>22</v>
      </c>
      <c r="W783">
        <v>0</v>
      </c>
      <c r="X783" t="s">
        <v>149</v>
      </c>
      <c r="Y783" t="s">
        <v>157</v>
      </c>
    </row>
    <row r="784" spans="1:25">
      <c r="A784" t="s">
        <v>965</v>
      </c>
      <c r="B784" s="113">
        <v>44794</v>
      </c>
      <c r="C784" t="s">
        <v>145</v>
      </c>
      <c r="D784" t="s">
        <v>172</v>
      </c>
      <c r="E784">
        <v>30</v>
      </c>
      <c r="F784">
        <v>795</v>
      </c>
      <c r="G784" t="s">
        <v>147</v>
      </c>
      <c r="H784">
        <v>42787.159879999999</v>
      </c>
      <c r="I784">
        <v>42787.159879999999</v>
      </c>
      <c r="J784" t="s">
        <v>148</v>
      </c>
      <c r="K784" t="s">
        <v>148</v>
      </c>
      <c r="L784">
        <v>2.2999999999999998</v>
      </c>
      <c r="M784" t="s">
        <v>149</v>
      </c>
      <c r="N784">
        <v>1</v>
      </c>
      <c r="O784">
        <v>0.1</v>
      </c>
      <c r="P784">
        <v>3</v>
      </c>
      <c r="Q784">
        <v>1050</v>
      </c>
      <c r="R784">
        <v>0.51731124500000003</v>
      </c>
      <c r="S784" t="s">
        <v>150</v>
      </c>
      <c r="T784">
        <v>20</v>
      </c>
      <c r="U784">
        <v>0</v>
      </c>
      <c r="V784">
        <v>20</v>
      </c>
      <c r="W784">
        <v>0</v>
      </c>
      <c r="X784" t="s">
        <v>149</v>
      </c>
      <c r="Y784" t="s">
        <v>157</v>
      </c>
    </row>
    <row r="785" spans="1:25">
      <c r="A785" t="s">
        <v>966</v>
      </c>
      <c r="B785" s="113">
        <v>44794</v>
      </c>
      <c r="C785" t="s">
        <v>162</v>
      </c>
      <c r="D785" t="s">
        <v>179</v>
      </c>
      <c r="E785">
        <v>27</v>
      </c>
      <c r="F785">
        <v>837</v>
      </c>
      <c r="G785" t="s">
        <v>169</v>
      </c>
      <c r="H785">
        <v>100635.2736</v>
      </c>
      <c r="J785" t="s">
        <v>148</v>
      </c>
      <c r="K785" t="s">
        <v>148</v>
      </c>
      <c r="L785">
        <v>2.2000000000000002</v>
      </c>
      <c r="M785" t="s">
        <v>149</v>
      </c>
      <c r="N785">
        <v>5</v>
      </c>
      <c r="O785">
        <v>0.9</v>
      </c>
      <c r="P785">
        <v>2</v>
      </c>
      <c r="Q785">
        <v>800</v>
      </c>
      <c r="R785">
        <v>0.374359679</v>
      </c>
      <c r="S785" t="s">
        <v>150</v>
      </c>
      <c r="T785">
        <v>20</v>
      </c>
      <c r="U785">
        <v>0</v>
      </c>
      <c r="V785">
        <v>20</v>
      </c>
      <c r="W785">
        <v>0</v>
      </c>
      <c r="X785" t="s">
        <v>149</v>
      </c>
      <c r="Y785" t="s">
        <v>157</v>
      </c>
    </row>
    <row r="786" spans="1:25">
      <c r="A786" t="s">
        <v>967</v>
      </c>
      <c r="B786" s="113">
        <v>44794</v>
      </c>
      <c r="C786" t="s">
        <v>162</v>
      </c>
      <c r="D786" t="s">
        <v>179</v>
      </c>
      <c r="E786">
        <v>54</v>
      </c>
      <c r="F786">
        <v>452</v>
      </c>
      <c r="G786" t="s">
        <v>147</v>
      </c>
      <c r="H786">
        <v>23820.647150000001</v>
      </c>
      <c r="I786">
        <v>23820.647150000001</v>
      </c>
      <c r="J786" t="s">
        <v>183</v>
      </c>
      <c r="K786" t="s">
        <v>183</v>
      </c>
      <c r="L786">
        <v>6.6</v>
      </c>
      <c r="M786" t="s">
        <v>149</v>
      </c>
      <c r="N786">
        <v>0</v>
      </c>
      <c r="O786">
        <v>7.8</v>
      </c>
      <c r="P786">
        <v>3</v>
      </c>
      <c r="Q786">
        <v>1300</v>
      </c>
      <c r="R786">
        <v>0.22184493199999999</v>
      </c>
      <c r="S786" t="s">
        <v>150</v>
      </c>
      <c r="T786">
        <v>13</v>
      </c>
      <c r="U786">
        <v>0</v>
      </c>
      <c r="V786">
        <v>13</v>
      </c>
      <c r="W786">
        <v>0</v>
      </c>
      <c r="X786" t="s">
        <v>151</v>
      </c>
      <c r="Y786" t="s">
        <v>152</v>
      </c>
    </row>
    <row r="787" spans="1:25">
      <c r="A787" t="s">
        <v>968</v>
      </c>
      <c r="B787" s="113">
        <v>44796</v>
      </c>
      <c r="C787" t="s">
        <v>162</v>
      </c>
      <c r="D787" t="s">
        <v>195</v>
      </c>
      <c r="E787">
        <v>50</v>
      </c>
      <c r="F787">
        <v>564</v>
      </c>
      <c r="G787" t="s">
        <v>169</v>
      </c>
      <c r="H787">
        <v>21566.504379999998</v>
      </c>
      <c r="J787" t="s">
        <v>148</v>
      </c>
      <c r="K787" t="s">
        <v>148</v>
      </c>
      <c r="L787">
        <v>0.4</v>
      </c>
      <c r="M787" t="s">
        <v>149</v>
      </c>
      <c r="N787">
        <v>6</v>
      </c>
      <c r="O787">
        <v>4.5</v>
      </c>
      <c r="P787">
        <v>3</v>
      </c>
      <c r="Q787">
        <v>1150</v>
      </c>
      <c r="R787">
        <v>6.3663061000000007E-2</v>
      </c>
      <c r="S787" t="s">
        <v>150</v>
      </c>
      <c r="T787">
        <v>11</v>
      </c>
      <c r="U787">
        <v>1</v>
      </c>
      <c r="V787">
        <v>11</v>
      </c>
      <c r="W787">
        <v>0</v>
      </c>
      <c r="X787" t="s">
        <v>151</v>
      </c>
      <c r="Y787" t="s">
        <v>152</v>
      </c>
    </row>
    <row r="788" spans="1:25">
      <c r="A788" t="s">
        <v>969</v>
      </c>
      <c r="B788" s="113">
        <v>44797</v>
      </c>
      <c r="C788" t="s">
        <v>159</v>
      </c>
      <c r="D788" t="s">
        <v>160</v>
      </c>
      <c r="E788">
        <v>45</v>
      </c>
      <c r="F788">
        <v>796</v>
      </c>
      <c r="G788" t="s">
        <v>169</v>
      </c>
      <c r="H788">
        <v>75375.584940000001</v>
      </c>
      <c r="I788">
        <v>75375.584940000001</v>
      </c>
      <c r="J788" t="s">
        <v>148</v>
      </c>
      <c r="K788" t="s">
        <v>148</v>
      </c>
      <c r="L788">
        <v>4.5</v>
      </c>
      <c r="M788" t="s">
        <v>151</v>
      </c>
      <c r="N788">
        <v>2</v>
      </c>
      <c r="O788">
        <v>5.2</v>
      </c>
      <c r="P788">
        <v>3</v>
      </c>
      <c r="Q788">
        <v>800</v>
      </c>
      <c r="R788">
        <v>9.6145111000000005E-2</v>
      </c>
      <c r="S788" t="s">
        <v>150</v>
      </c>
      <c r="T788">
        <v>15</v>
      </c>
      <c r="U788">
        <v>0</v>
      </c>
      <c r="V788">
        <v>15</v>
      </c>
      <c r="W788">
        <v>0</v>
      </c>
      <c r="X788" t="s">
        <v>149</v>
      </c>
      <c r="Y788" t="s">
        <v>157</v>
      </c>
    </row>
    <row r="789" spans="1:25">
      <c r="A789" t="s">
        <v>970</v>
      </c>
      <c r="B789" s="113">
        <v>44797</v>
      </c>
      <c r="C789" t="s">
        <v>162</v>
      </c>
      <c r="D789" t="s">
        <v>163</v>
      </c>
      <c r="E789">
        <v>27</v>
      </c>
      <c r="F789">
        <v>573</v>
      </c>
      <c r="G789" t="s">
        <v>169</v>
      </c>
      <c r="H789">
        <v>42377.069409999996</v>
      </c>
      <c r="I789">
        <v>42377.069409999996</v>
      </c>
      <c r="J789" t="s">
        <v>170</v>
      </c>
      <c r="K789" t="s">
        <v>170</v>
      </c>
      <c r="L789">
        <v>4.7</v>
      </c>
      <c r="M789" t="s">
        <v>149</v>
      </c>
      <c r="N789">
        <v>3</v>
      </c>
      <c r="O789">
        <v>0.6</v>
      </c>
      <c r="P789">
        <v>4</v>
      </c>
      <c r="Q789">
        <v>1350</v>
      </c>
      <c r="R789">
        <v>0.253497215</v>
      </c>
      <c r="S789" t="s">
        <v>198</v>
      </c>
      <c r="Y789" t="s">
        <v>199</v>
      </c>
    </row>
    <row r="790" spans="1:25">
      <c r="A790" t="s">
        <v>971</v>
      </c>
      <c r="B790" s="113">
        <v>44802</v>
      </c>
      <c r="C790" t="s">
        <v>159</v>
      </c>
      <c r="D790" t="s">
        <v>165</v>
      </c>
      <c r="E790">
        <v>39</v>
      </c>
      <c r="F790">
        <v>916</v>
      </c>
      <c r="G790" t="s">
        <v>169</v>
      </c>
      <c r="H790">
        <v>43223.753879999997</v>
      </c>
      <c r="I790">
        <v>43223.753879999997</v>
      </c>
      <c r="J790" t="s">
        <v>148</v>
      </c>
      <c r="K790" t="s">
        <v>148</v>
      </c>
      <c r="L790">
        <v>2.4</v>
      </c>
      <c r="M790" t="s">
        <v>149</v>
      </c>
      <c r="N790">
        <v>1</v>
      </c>
      <c r="O790">
        <v>0.5</v>
      </c>
      <c r="P790">
        <v>1</v>
      </c>
      <c r="Q790">
        <v>1750</v>
      </c>
      <c r="R790">
        <v>0.40437362199999999</v>
      </c>
      <c r="S790" t="s">
        <v>150</v>
      </c>
      <c r="T790">
        <v>15</v>
      </c>
      <c r="U790">
        <v>0</v>
      </c>
      <c r="V790">
        <v>15</v>
      </c>
      <c r="W790">
        <v>0</v>
      </c>
      <c r="X790" t="s">
        <v>149</v>
      </c>
      <c r="Y790" t="s">
        <v>157</v>
      </c>
    </row>
    <row r="791" spans="1:25">
      <c r="A791" t="s">
        <v>972</v>
      </c>
      <c r="B791" s="113">
        <v>44804</v>
      </c>
      <c r="C791" t="s">
        <v>159</v>
      </c>
      <c r="D791" t="s">
        <v>168</v>
      </c>
      <c r="E791">
        <v>40</v>
      </c>
      <c r="F791">
        <v>599</v>
      </c>
      <c r="G791" t="s">
        <v>155</v>
      </c>
      <c r="H791">
        <v>101134.0297</v>
      </c>
      <c r="I791">
        <v>101134.0297</v>
      </c>
      <c r="J791" t="s">
        <v>148</v>
      </c>
      <c r="K791" t="s">
        <v>148</v>
      </c>
      <c r="L791">
        <v>0.5</v>
      </c>
      <c r="M791" t="s">
        <v>149</v>
      </c>
      <c r="N791">
        <v>5</v>
      </c>
      <c r="O791">
        <v>2.2000000000000002</v>
      </c>
      <c r="P791">
        <v>3</v>
      </c>
      <c r="Q791">
        <v>1750</v>
      </c>
      <c r="R791">
        <v>0.54492012999999995</v>
      </c>
      <c r="S791" t="s">
        <v>150</v>
      </c>
      <c r="T791">
        <v>20</v>
      </c>
      <c r="U791">
        <v>1</v>
      </c>
      <c r="V791">
        <v>20</v>
      </c>
      <c r="W791">
        <v>0</v>
      </c>
      <c r="X791" t="s">
        <v>151</v>
      </c>
      <c r="Y791" t="s">
        <v>152</v>
      </c>
    </row>
    <row r="792" spans="1:25">
      <c r="A792" t="s">
        <v>973</v>
      </c>
      <c r="B792" s="113">
        <v>44804</v>
      </c>
      <c r="C792" t="s">
        <v>162</v>
      </c>
      <c r="D792" t="s">
        <v>193</v>
      </c>
      <c r="E792">
        <v>44</v>
      </c>
      <c r="F792">
        <v>545</v>
      </c>
      <c r="G792" t="s">
        <v>155</v>
      </c>
      <c r="H792">
        <v>11265.21242</v>
      </c>
      <c r="I792">
        <v>11265.21242</v>
      </c>
      <c r="J792" t="s">
        <v>148</v>
      </c>
      <c r="K792" t="s">
        <v>148</v>
      </c>
      <c r="L792">
        <v>7.2</v>
      </c>
      <c r="M792" t="s">
        <v>151</v>
      </c>
      <c r="N792">
        <v>3</v>
      </c>
      <c r="O792">
        <v>12.5</v>
      </c>
      <c r="P792">
        <v>3</v>
      </c>
      <c r="Q792">
        <v>1300</v>
      </c>
      <c r="R792">
        <v>0.67154641699999995</v>
      </c>
      <c r="S792" t="s">
        <v>198</v>
      </c>
      <c r="Y792" t="s">
        <v>199</v>
      </c>
    </row>
    <row r="793" spans="1:25">
      <c r="A793" t="s">
        <v>974</v>
      </c>
      <c r="B793" s="113">
        <v>44806</v>
      </c>
      <c r="C793" t="s">
        <v>145</v>
      </c>
      <c r="D793" t="s">
        <v>280</v>
      </c>
      <c r="E793">
        <v>41</v>
      </c>
      <c r="F793">
        <v>639</v>
      </c>
      <c r="G793" t="s">
        <v>155</v>
      </c>
      <c r="H793">
        <v>21113.41689</v>
      </c>
      <c r="J793" t="s">
        <v>148</v>
      </c>
      <c r="K793" t="s">
        <v>148</v>
      </c>
      <c r="L793">
        <v>7.8</v>
      </c>
      <c r="M793" t="s">
        <v>149</v>
      </c>
      <c r="N793">
        <v>5</v>
      </c>
      <c r="O793">
        <v>13</v>
      </c>
      <c r="P793">
        <v>3</v>
      </c>
      <c r="Q793">
        <v>1300</v>
      </c>
      <c r="R793">
        <v>0.78101775900000003</v>
      </c>
      <c r="S793" t="s">
        <v>150</v>
      </c>
      <c r="T793">
        <v>20</v>
      </c>
      <c r="U793">
        <v>0</v>
      </c>
      <c r="V793">
        <v>20</v>
      </c>
      <c r="W793">
        <v>0</v>
      </c>
      <c r="X793" t="s">
        <v>149</v>
      </c>
      <c r="Y793" t="s">
        <v>157</v>
      </c>
    </row>
    <row r="794" spans="1:25">
      <c r="A794" t="s">
        <v>975</v>
      </c>
      <c r="B794" s="113">
        <v>44809</v>
      </c>
      <c r="C794" t="s">
        <v>162</v>
      </c>
      <c r="D794" t="s">
        <v>193</v>
      </c>
      <c r="E794">
        <v>28</v>
      </c>
      <c r="F794">
        <v>778</v>
      </c>
      <c r="G794" t="s">
        <v>147</v>
      </c>
      <c r="H794">
        <v>20047.206839999999</v>
      </c>
      <c r="I794">
        <v>20047.206839999999</v>
      </c>
      <c r="J794" t="s">
        <v>148</v>
      </c>
      <c r="K794" t="s">
        <v>148</v>
      </c>
      <c r="L794">
        <v>2.7</v>
      </c>
      <c r="M794" t="s">
        <v>149</v>
      </c>
      <c r="N794">
        <v>5</v>
      </c>
      <c r="O794">
        <v>5</v>
      </c>
      <c r="P794">
        <v>3</v>
      </c>
      <c r="Q794">
        <v>1550</v>
      </c>
      <c r="R794">
        <v>0.87053766499999996</v>
      </c>
      <c r="S794" t="s">
        <v>198</v>
      </c>
      <c r="Y794" t="s">
        <v>199</v>
      </c>
    </row>
    <row r="795" spans="1:25">
      <c r="A795" t="s">
        <v>976</v>
      </c>
      <c r="B795" s="113">
        <v>44809</v>
      </c>
      <c r="C795" t="s">
        <v>159</v>
      </c>
      <c r="D795" t="s">
        <v>168</v>
      </c>
      <c r="E795">
        <v>38</v>
      </c>
      <c r="F795">
        <v>805</v>
      </c>
      <c r="G795" t="s">
        <v>176</v>
      </c>
      <c r="H795">
        <v>128712.0292</v>
      </c>
      <c r="I795">
        <v>128712.0292</v>
      </c>
      <c r="J795" t="s">
        <v>148</v>
      </c>
      <c r="K795" t="s">
        <v>148</v>
      </c>
      <c r="L795">
        <v>0.7</v>
      </c>
      <c r="M795" t="s">
        <v>149</v>
      </c>
      <c r="N795">
        <v>0</v>
      </c>
      <c r="O795">
        <v>0.4</v>
      </c>
      <c r="P795">
        <v>2</v>
      </c>
      <c r="Q795">
        <v>1550</v>
      </c>
      <c r="R795">
        <v>0.93781930899999999</v>
      </c>
      <c r="S795" t="s">
        <v>150</v>
      </c>
      <c r="T795">
        <v>13</v>
      </c>
      <c r="U795">
        <v>1</v>
      </c>
      <c r="V795">
        <v>13</v>
      </c>
      <c r="W795">
        <v>0</v>
      </c>
      <c r="X795" t="s">
        <v>149</v>
      </c>
      <c r="Y795" t="s">
        <v>157</v>
      </c>
    </row>
    <row r="796" spans="1:25">
      <c r="A796" t="s">
        <v>977</v>
      </c>
      <c r="B796" s="113">
        <v>44810</v>
      </c>
      <c r="C796" t="s">
        <v>162</v>
      </c>
      <c r="D796" t="s">
        <v>193</v>
      </c>
      <c r="E796">
        <v>30</v>
      </c>
      <c r="F796">
        <v>764</v>
      </c>
      <c r="G796" t="s">
        <v>155</v>
      </c>
      <c r="H796">
        <v>99563.811660000007</v>
      </c>
      <c r="I796">
        <v>99563.811660000007</v>
      </c>
      <c r="J796" t="s">
        <v>156</v>
      </c>
      <c r="K796" t="s">
        <v>166</v>
      </c>
      <c r="L796">
        <v>6.3</v>
      </c>
      <c r="M796" t="s">
        <v>149</v>
      </c>
      <c r="N796">
        <v>4</v>
      </c>
      <c r="O796">
        <v>7</v>
      </c>
      <c r="P796">
        <v>3</v>
      </c>
      <c r="Q796">
        <v>1750</v>
      </c>
      <c r="R796">
        <v>0.98114395300000001</v>
      </c>
      <c r="S796" t="s">
        <v>150</v>
      </c>
      <c r="T796">
        <v>21</v>
      </c>
      <c r="U796">
        <v>1</v>
      </c>
      <c r="V796">
        <v>21</v>
      </c>
      <c r="W796">
        <v>0</v>
      </c>
      <c r="X796" t="s">
        <v>149</v>
      </c>
      <c r="Y796" t="s">
        <v>157</v>
      </c>
    </row>
    <row r="797" spans="1:25">
      <c r="A797" t="s">
        <v>978</v>
      </c>
      <c r="B797" s="113">
        <v>44811</v>
      </c>
      <c r="C797" t="s">
        <v>162</v>
      </c>
      <c r="D797" t="s">
        <v>193</v>
      </c>
      <c r="E797">
        <v>44</v>
      </c>
      <c r="F797">
        <v>682</v>
      </c>
      <c r="G797" t="s">
        <v>169</v>
      </c>
      <c r="H797">
        <v>16237.535019999999</v>
      </c>
      <c r="I797">
        <v>16237.535019999999</v>
      </c>
      <c r="J797" t="s">
        <v>148</v>
      </c>
      <c r="K797" t="s">
        <v>148</v>
      </c>
      <c r="L797">
        <v>1.8</v>
      </c>
      <c r="M797" t="s">
        <v>151</v>
      </c>
      <c r="N797">
        <v>3</v>
      </c>
      <c r="O797">
        <v>6.7</v>
      </c>
      <c r="P797">
        <v>2</v>
      </c>
      <c r="Q797">
        <v>1300</v>
      </c>
      <c r="R797">
        <v>0.99940484900000004</v>
      </c>
      <c r="S797" t="s">
        <v>198</v>
      </c>
      <c r="Y797" t="s">
        <v>199</v>
      </c>
    </row>
    <row r="798" spans="1:25">
      <c r="A798" t="s">
        <v>979</v>
      </c>
      <c r="B798" s="113">
        <v>44811</v>
      </c>
      <c r="C798" t="s">
        <v>162</v>
      </c>
      <c r="D798" t="s">
        <v>187</v>
      </c>
      <c r="E798">
        <v>50</v>
      </c>
      <c r="F798">
        <v>777</v>
      </c>
      <c r="G798" t="s">
        <v>147</v>
      </c>
      <c r="H798">
        <v>79422.976089999996</v>
      </c>
      <c r="I798">
        <v>79422.976089999996</v>
      </c>
      <c r="J798" t="s">
        <v>148</v>
      </c>
      <c r="K798" t="s">
        <v>148</v>
      </c>
      <c r="L798">
        <v>2</v>
      </c>
      <c r="M798" t="s">
        <v>149</v>
      </c>
      <c r="N798">
        <v>3</v>
      </c>
      <c r="O798">
        <v>24.4</v>
      </c>
      <c r="P798">
        <v>4</v>
      </c>
      <c r="Q798">
        <v>800</v>
      </c>
      <c r="R798">
        <v>0.99213551499999997</v>
      </c>
      <c r="S798" t="s">
        <v>150</v>
      </c>
      <c r="T798">
        <v>12</v>
      </c>
      <c r="U798">
        <v>0</v>
      </c>
      <c r="V798">
        <v>12</v>
      </c>
      <c r="W798">
        <v>1</v>
      </c>
      <c r="X798" t="s">
        <v>149</v>
      </c>
      <c r="Y798" t="s">
        <v>157</v>
      </c>
    </row>
    <row r="799" spans="1:25">
      <c r="A799" t="s">
        <v>980</v>
      </c>
      <c r="B799" s="113">
        <v>44816</v>
      </c>
      <c r="C799" t="s">
        <v>159</v>
      </c>
      <c r="D799" t="s">
        <v>165</v>
      </c>
      <c r="E799">
        <v>44</v>
      </c>
      <c r="F799">
        <v>784</v>
      </c>
      <c r="G799" t="s">
        <v>147</v>
      </c>
      <c r="H799">
        <v>61989.115689999999</v>
      </c>
      <c r="J799" t="s">
        <v>148</v>
      </c>
      <c r="K799" t="s">
        <v>148</v>
      </c>
      <c r="L799">
        <v>0.7</v>
      </c>
      <c r="M799" t="s">
        <v>149</v>
      </c>
      <c r="N799">
        <v>3</v>
      </c>
      <c r="O799">
        <v>4.3</v>
      </c>
      <c r="P799">
        <v>2</v>
      </c>
      <c r="Q799">
        <v>1350</v>
      </c>
      <c r="R799">
        <v>0.95952165</v>
      </c>
      <c r="S799" t="s">
        <v>150</v>
      </c>
      <c r="T799">
        <v>22</v>
      </c>
      <c r="U799">
        <v>1</v>
      </c>
      <c r="V799">
        <v>22</v>
      </c>
      <c r="W799">
        <v>0</v>
      </c>
      <c r="X799" t="s">
        <v>151</v>
      </c>
      <c r="Y799" t="s">
        <v>152</v>
      </c>
    </row>
    <row r="800" spans="1:25">
      <c r="A800" t="s">
        <v>981</v>
      </c>
      <c r="B800" s="113">
        <v>44816</v>
      </c>
      <c r="C800" t="s">
        <v>159</v>
      </c>
      <c r="D800" t="s">
        <v>168</v>
      </c>
      <c r="E800">
        <v>40</v>
      </c>
      <c r="F800">
        <v>678</v>
      </c>
      <c r="G800" t="s">
        <v>155</v>
      </c>
      <c r="H800">
        <v>101954.57739999999</v>
      </c>
      <c r="I800">
        <v>101954.57739999999</v>
      </c>
      <c r="J800" t="s">
        <v>221</v>
      </c>
      <c r="K800" t="s">
        <v>221</v>
      </c>
      <c r="L800">
        <v>5</v>
      </c>
      <c r="M800" t="s">
        <v>149</v>
      </c>
      <c r="N800">
        <v>2</v>
      </c>
      <c r="O800">
        <v>5.3</v>
      </c>
      <c r="P800">
        <v>3</v>
      </c>
      <c r="Q800">
        <v>1750</v>
      </c>
      <c r="R800">
        <v>0.90239638799999999</v>
      </c>
      <c r="S800" t="s">
        <v>150</v>
      </c>
      <c r="T800">
        <v>19</v>
      </c>
      <c r="U800">
        <v>3</v>
      </c>
      <c r="V800">
        <v>19</v>
      </c>
      <c r="W800">
        <v>1</v>
      </c>
      <c r="X800" t="s">
        <v>149</v>
      </c>
      <c r="Y800" t="s">
        <v>157</v>
      </c>
    </row>
    <row r="801" spans="1:25">
      <c r="A801" t="s">
        <v>982</v>
      </c>
      <c r="B801" s="113">
        <v>44818</v>
      </c>
      <c r="C801" t="s">
        <v>162</v>
      </c>
      <c r="D801" t="s">
        <v>187</v>
      </c>
      <c r="E801">
        <v>28</v>
      </c>
      <c r="F801">
        <v>804</v>
      </c>
      <c r="G801" t="s">
        <v>169</v>
      </c>
      <c r="H801">
        <v>60213.352149999999</v>
      </c>
      <c r="J801" t="s">
        <v>148</v>
      </c>
      <c r="K801" t="s">
        <v>148</v>
      </c>
      <c r="L801">
        <v>0.7</v>
      </c>
      <c r="M801" t="s">
        <v>149</v>
      </c>
      <c r="N801">
        <v>3</v>
      </c>
      <c r="O801">
        <v>4.7</v>
      </c>
      <c r="P801">
        <v>3</v>
      </c>
      <c r="Q801">
        <v>1150</v>
      </c>
      <c r="R801">
        <v>0.82221902000000002</v>
      </c>
      <c r="S801" t="s">
        <v>150</v>
      </c>
      <c r="T801">
        <v>18</v>
      </c>
      <c r="U801">
        <v>0</v>
      </c>
      <c r="V801">
        <v>18</v>
      </c>
      <c r="W801">
        <v>0</v>
      </c>
      <c r="X801" t="s">
        <v>149</v>
      </c>
      <c r="Y801" t="s">
        <v>157</v>
      </c>
    </row>
    <row r="802" spans="1:25">
      <c r="A802" t="s">
        <v>983</v>
      </c>
      <c r="B802" s="113">
        <v>44819</v>
      </c>
      <c r="C802" t="s">
        <v>162</v>
      </c>
      <c r="D802" t="s">
        <v>163</v>
      </c>
      <c r="E802">
        <v>28</v>
      </c>
      <c r="F802">
        <v>709</v>
      </c>
      <c r="G802" t="s">
        <v>155</v>
      </c>
      <c r="H802">
        <v>28432.23213</v>
      </c>
      <c r="I802">
        <v>28432.23213</v>
      </c>
      <c r="J802" t="s">
        <v>148</v>
      </c>
      <c r="K802" t="s">
        <v>148</v>
      </c>
      <c r="L802">
        <v>10.199999999999999</v>
      </c>
      <c r="M802" t="s">
        <v>149</v>
      </c>
      <c r="N802">
        <v>4</v>
      </c>
      <c r="O802">
        <v>2</v>
      </c>
      <c r="P802">
        <v>3</v>
      </c>
      <c r="Q802">
        <v>1850</v>
      </c>
      <c r="R802">
        <v>0.72103771100000003</v>
      </c>
      <c r="S802" t="s">
        <v>198</v>
      </c>
      <c r="Y802" t="s">
        <v>199</v>
      </c>
    </row>
    <row r="803" spans="1:25">
      <c r="A803" t="s">
        <v>984</v>
      </c>
      <c r="B803" s="113">
        <v>44820</v>
      </c>
      <c r="C803" t="s">
        <v>145</v>
      </c>
      <c r="D803" t="s">
        <v>146</v>
      </c>
      <c r="E803">
        <v>29</v>
      </c>
      <c r="F803">
        <v>827</v>
      </c>
      <c r="G803" t="s">
        <v>147</v>
      </c>
      <c r="H803">
        <v>31799.897629999999</v>
      </c>
      <c r="I803">
        <v>31799.897629999999</v>
      </c>
      <c r="J803" t="s">
        <v>170</v>
      </c>
      <c r="K803" t="s">
        <v>170</v>
      </c>
      <c r="L803">
        <v>1.9</v>
      </c>
      <c r="M803" t="s">
        <v>149</v>
      </c>
      <c r="N803">
        <v>3</v>
      </c>
      <c r="O803">
        <v>2.6</v>
      </c>
      <c r="P803">
        <v>2</v>
      </c>
      <c r="Q803">
        <v>1100</v>
      </c>
      <c r="R803">
        <v>0.60143718000000002</v>
      </c>
      <c r="S803" t="s">
        <v>150</v>
      </c>
      <c r="T803">
        <v>15</v>
      </c>
      <c r="U803">
        <v>0</v>
      </c>
      <c r="V803">
        <v>15</v>
      </c>
      <c r="W803">
        <v>0</v>
      </c>
      <c r="X803" t="s">
        <v>149</v>
      </c>
      <c r="Y803" t="s">
        <v>157</v>
      </c>
    </row>
    <row r="804" spans="1:25">
      <c r="A804" t="s">
        <v>985</v>
      </c>
      <c r="B804" s="113">
        <v>44821</v>
      </c>
      <c r="C804" t="s">
        <v>159</v>
      </c>
      <c r="D804" t="s">
        <v>197</v>
      </c>
      <c r="E804">
        <v>33</v>
      </c>
      <c r="F804">
        <v>609</v>
      </c>
      <c r="G804" t="s">
        <v>176</v>
      </c>
      <c r="H804">
        <v>47528.784650000001</v>
      </c>
      <c r="I804">
        <v>47528.784650000001</v>
      </c>
      <c r="J804" t="s">
        <v>156</v>
      </c>
      <c r="K804" t="s">
        <v>166</v>
      </c>
      <c r="L804">
        <v>1.8</v>
      </c>
      <c r="M804" t="s">
        <v>149</v>
      </c>
      <c r="N804">
        <v>2</v>
      </c>
      <c r="O804">
        <v>0.3</v>
      </c>
      <c r="P804">
        <v>1</v>
      </c>
      <c r="Q804">
        <v>1300</v>
      </c>
      <c r="R804">
        <v>0.466472677</v>
      </c>
      <c r="S804" t="s">
        <v>198</v>
      </c>
      <c r="Y804" t="s">
        <v>199</v>
      </c>
    </row>
    <row r="805" spans="1:25">
      <c r="A805" t="s">
        <v>986</v>
      </c>
      <c r="B805" s="113">
        <v>44822</v>
      </c>
      <c r="C805" t="s">
        <v>159</v>
      </c>
      <c r="D805" t="s">
        <v>165</v>
      </c>
      <c r="E805">
        <v>46</v>
      </c>
      <c r="F805">
        <v>774</v>
      </c>
      <c r="G805" t="s">
        <v>169</v>
      </c>
      <c r="H805">
        <v>30373.675179999998</v>
      </c>
      <c r="I805">
        <v>30373.675179999998</v>
      </c>
      <c r="J805" t="s">
        <v>156</v>
      </c>
      <c r="K805" t="s">
        <v>156</v>
      </c>
      <c r="L805">
        <v>1.2</v>
      </c>
      <c r="M805" t="s">
        <v>149</v>
      </c>
      <c r="N805">
        <v>3</v>
      </c>
      <c r="O805">
        <v>7.6</v>
      </c>
      <c r="P805">
        <v>1</v>
      </c>
      <c r="Q805">
        <v>1400</v>
      </c>
      <c r="R805">
        <v>0.319591927</v>
      </c>
      <c r="S805" t="s">
        <v>198</v>
      </c>
      <c r="Y805" t="s">
        <v>199</v>
      </c>
    </row>
    <row r="806" spans="1:25">
      <c r="A806" t="s">
        <v>987</v>
      </c>
      <c r="B806" s="113">
        <v>44825</v>
      </c>
      <c r="C806" t="s">
        <v>162</v>
      </c>
      <c r="D806" t="s">
        <v>190</v>
      </c>
      <c r="E806">
        <v>40</v>
      </c>
      <c r="F806">
        <v>548</v>
      </c>
      <c r="G806" t="s">
        <v>176</v>
      </c>
      <c r="H806">
        <v>52424.351029999998</v>
      </c>
      <c r="I806">
        <v>52424.351029999998</v>
      </c>
      <c r="J806" t="s">
        <v>156</v>
      </c>
      <c r="K806" t="s">
        <v>156</v>
      </c>
      <c r="L806">
        <v>5.6</v>
      </c>
      <c r="M806" t="s">
        <v>149</v>
      </c>
      <c r="N806">
        <v>2</v>
      </c>
      <c r="O806">
        <v>2.5</v>
      </c>
      <c r="P806">
        <v>3</v>
      </c>
      <c r="Q806">
        <v>1400</v>
      </c>
      <c r="R806">
        <v>0.16454706299999999</v>
      </c>
      <c r="S806" t="s">
        <v>150</v>
      </c>
      <c r="T806">
        <v>21</v>
      </c>
      <c r="U806">
        <v>2</v>
      </c>
      <c r="V806">
        <v>21</v>
      </c>
      <c r="W806">
        <v>0</v>
      </c>
      <c r="X806" t="s">
        <v>151</v>
      </c>
      <c r="Y806" t="s">
        <v>152</v>
      </c>
    </row>
    <row r="807" spans="1:25">
      <c r="A807" t="s">
        <v>988</v>
      </c>
      <c r="B807" s="113">
        <v>44826</v>
      </c>
      <c r="C807" t="s">
        <v>162</v>
      </c>
      <c r="D807" t="s">
        <v>190</v>
      </c>
      <c r="E807">
        <v>39</v>
      </c>
      <c r="F807">
        <v>607</v>
      </c>
      <c r="G807" t="s">
        <v>176</v>
      </c>
      <c r="H807">
        <v>44957.547050000001</v>
      </c>
      <c r="I807">
        <v>44957.547050000001</v>
      </c>
      <c r="J807" t="s">
        <v>181</v>
      </c>
      <c r="K807" t="s">
        <v>181</v>
      </c>
      <c r="L807">
        <v>0.5</v>
      </c>
      <c r="M807" t="s">
        <v>149</v>
      </c>
      <c r="N807">
        <v>3</v>
      </c>
      <c r="O807">
        <v>7.9</v>
      </c>
      <c r="P807">
        <v>2</v>
      </c>
      <c r="Q807">
        <v>1100</v>
      </c>
      <c r="R807">
        <v>5.2987720000000002E-3</v>
      </c>
      <c r="S807" t="s">
        <v>150</v>
      </c>
      <c r="T807">
        <v>22</v>
      </c>
      <c r="U807">
        <v>2</v>
      </c>
      <c r="V807">
        <v>22</v>
      </c>
      <c r="W807">
        <v>0</v>
      </c>
      <c r="X807" t="s">
        <v>149</v>
      </c>
      <c r="Y807" t="s">
        <v>157</v>
      </c>
    </row>
    <row r="808" spans="1:25">
      <c r="A808" t="s">
        <v>989</v>
      </c>
      <c r="B808" s="113">
        <v>44827</v>
      </c>
      <c r="C808" t="s">
        <v>162</v>
      </c>
      <c r="D808" t="s">
        <v>190</v>
      </c>
      <c r="E808">
        <v>40</v>
      </c>
      <c r="F808">
        <v>588</v>
      </c>
      <c r="G808" t="s">
        <v>155</v>
      </c>
      <c r="H808">
        <v>34606.99252</v>
      </c>
      <c r="I808">
        <v>34606.99252</v>
      </c>
      <c r="J808" t="s">
        <v>148</v>
      </c>
      <c r="K808" t="s">
        <v>148</v>
      </c>
      <c r="L808">
        <v>15.3</v>
      </c>
      <c r="M808" t="s">
        <v>149</v>
      </c>
      <c r="N808">
        <v>1</v>
      </c>
      <c r="O808">
        <v>5.9</v>
      </c>
      <c r="P808">
        <v>0</v>
      </c>
      <c r="Q808">
        <v>950</v>
      </c>
      <c r="R808">
        <v>0.15408487700000001</v>
      </c>
      <c r="S808" t="s">
        <v>150</v>
      </c>
      <c r="T808">
        <v>23</v>
      </c>
      <c r="U808">
        <v>0</v>
      </c>
      <c r="V808">
        <v>23</v>
      </c>
      <c r="W808">
        <v>0</v>
      </c>
      <c r="X808" t="s">
        <v>149</v>
      </c>
      <c r="Y808" t="s">
        <v>157</v>
      </c>
    </row>
    <row r="809" spans="1:25">
      <c r="A809" t="s">
        <v>990</v>
      </c>
      <c r="B809" s="113">
        <v>44830</v>
      </c>
      <c r="C809" t="s">
        <v>162</v>
      </c>
      <c r="D809" t="s">
        <v>195</v>
      </c>
      <c r="E809">
        <v>66</v>
      </c>
      <c r="F809">
        <v>651</v>
      </c>
      <c r="G809" t="s">
        <v>169</v>
      </c>
      <c r="H809">
        <v>25186.989280000002</v>
      </c>
      <c r="I809">
        <v>25186.989280000002</v>
      </c>
      <c r="J809" t="s">
        <v>148</v>
      </c>
      <c r="K809" t="s">
        <v>148</v>
      </c>
      <c r="L809">
        <v>8.8000000000000007</v>
      </c>
      <c r="M809" t="s">
        <v>149</v>
      </c>
      <c r="N809">
        <v>2</v>
      </c>
      <c r="O809">
        <v>3.1</v>
      </c>
      <c r="P809">
        <v>2</v>
      </c>
      <c r="Q809">
        <v>1300</v>
      </c>
      <c r="R809">
        <v>0.30953236200000001</v>
      </c>
      <c r="S809" t="s">
        <v>198</v>
      </c>
      <c r="Y809" t="s">
        <v>199</v>
      </c>
    </row>
    <row r="810" spans="1:25">
      <c r="A810" t="s">
        <v>991</v>
      </c>
      <c r="B810" s="113">
        <v>44831</v>
      </c>
      <c r="C810" t="s">
        <v>162</v>
      </c>
      <c r="D810" t="s">
        <v>193</v>
      </c>
      <c r="E810">
        <v>41</v>
      </c>
      <c r="F810">
        <v>696</v>
      </c>
      <c r="G810" t="s">
        <v>155</v>
      </c>
      <c r="H810">
        <v>14404.30113</v>
      </c>
      <c r="I810">
        <v>14404.30113</v>
      </c>
      <c r="J810" t="s">
        <v>170</v>
      </c>
      <c r="K810" t="s">
        <v>170</v>
      </c>
      <c r="L810">
        <v>8.9</v>
      </c>
      <c r="M810" t="s">
        <v>149</v>
      </c>
      <c r="N810">
        <v>2</v>
      </c>
      <c r="O810">
        <v>5</v>
      </c>
      <c r="P810">
        <v>3</v>
      </c>
      <c r="Q810">
        <v>800</v>
      </c>
      <c r="R810">
        <v>0.45707270900000002</v>
      </c>
      <c r="S810" t="s">
        <v>150</v>
      </c>
      <c r="T810">
        <v>23</v>
      </c>
      <c r="U810">
        <v>1</v>
      </c>
      <c r="V810">
        <v>23</v>
      </c>
      <c r="W810">
        <v>0</v>
      </c>
      <c r="X810" t="s">
        <v>149</v>
      </c>
      <c r="Y810" t="s">
        <v>157</v>
      </c>
    </row>
    <row r="811" spans="1:25">
      <c r="A811" t="s">
        <v>992</v>
      </c>
      <c r="B811" s="113">
        <v>44832</v>
      </c>
      <c r="C811" t="s">
        <v>159</v>
      </c>
      <c r="D811" t="s">
        <v>209</v>
      </c>
      <c r="E811">
        <v>55</v>
      </c>
      <c r="F811">
        <v>736</v>
      </c>
      <c r="G811" t="s">
        <v>176</v>
      </c>
      <c r="H811">
        <v>61424.531069999997</v>
      </c>
      <c r="I811">
        <v>61424.531069999997</v>
      </c>
      <c r="J811" t="s">
        <v>148</v>
      </c>
      <c r="K811" t="s">
        <v>148</v>
      </c>
      <c r="L811">
        <v>3.3</v>
      </c>
      <c r="M811" t="s">
        <v>149</v>
      </c>
      <c r="N811">
        <v>6</v>
      </c>
      <c r="O811">
        <v>11.7</v>
      </c>
      <c r="P811">
        <v>3</v>
      </c>
      <c r="Q811">
        <v>1650</v>
      </c>
      <c r="R811">
        <v>0.592936935</v>
      </c>
      <c r="S811" t="s">
        <v>150</v>
      </c>
      <c r="T811">
        <v>15</v>
      </c>
      <c r="U811">
        <v>0</v>
      </c>
      <c r="V811">
        <v>15</v>
      </c>
      <c r="W811">
        <v>0</v>
      </c>
      <c r="X811" t="s">
        <v>149</v>
      </c>
      <c r="Y811" t="s">
        <v>157</v>
      </c>
    </row>
    <row r="812" spans="1:25">
      <c r="A812" t="s">
        <v>993</v>
      </c>
      <c r="B812" s="113">
        <v>44832</v>
      </c>
      <c r="C812" t="s">
        <v>162</v>
      </c>
      <c r="D812" t="s">
        <v>163</v>
      </c>
      <c r="E812">
        <v>30</v>
      </c>
      <c r="F812">
        <v>692</v>
      </c>
      <c r="G812" t="s">
        <v>176</v>
      </c>
      <c r="H812">
        <v>58897.389199999998</v>
      </c>
      <c r="I812">
        <v>58897.389199999998</v>
      </c>
      <c r="J812" t="s">
        <v>148</v>
      </c>
      <c r="K812" t="s">
        <v>148</v>
      </c>
      <c r="L812">
        <v>5.7</v>
      </c>
      <c r="M812" t="s">
        <v>149</v>
      </c>
      <c r="N812">
        <v>4</v>
      </c>
      <c r="O812">
        <v>7.6</v>
      </c>
      <c r="P812">
        <v>2</v>
      </c>
      <c r="Q812">
        <v>1200</v>
      </c>
      <c r="R812">
        <v>0.71365433</v>
      </c>
      <c r="S812" t="s">
        <v>150</v>
      </c>
      <c r="T812">
        <v>23</v>
      </c>
      <c r="U812">
        <v>0</v>
      </c>
      <c r="V812">
        <v>23</v>
      </c>
      <c r="W812">
        <v>0</v>
      </c>
      <c r="X812" t="s">
        <v>149</v>
      </c>
      <c r="Y812" t="s">
        <v>157</v>
      </c>
    </row>
    <row r="813" spans="1:25">
      <c r="A813" t="s">
        <v>994</v>
      </c>
      <c r="B813" s="113">
        <v>44838</v>
      </c>
      <c r="C813" t="s">
        <v>159</v>
      </c>
      <c r="D813" t="s">
        <v>160</v>
      </c>
      <c r="E813">
        <v>36</v>
      </c>
      <c r="F813">
        <v>608</v>
      </c>
      <c r="G813" t="s">
        <v>169</v>
      </c>
      <c r="H813">
        <v>40636.842329999999</v>
      </c>
      <c r="I813">
        <v>40636.842329999999</v>
      </c>
      <c r="J813" t="s">
        <v>148</v>
      </c>
      <c r="K813" t="s">
        <v>148</v>
      </c>
      <c r="L813">
        <v>1.3</v>
      </c>
      <c r="M813" t="s">
        <v>149</v>
      </c>
      <c r="N813">
        <v>1</v>
      </c>
      <c r="O813">
        <v>15</v>
      </c>
      <c r="P813">
        <v>3</v>
      </c>
      <c r="Q813">
        <v>1450</v>
      </c>
      <c r="R813">
        <v>0.81614111600000006</v>
      </c>
      <c r="S813" t="s">
        <v>198</v>
      </c>
      <c r="Y813" t="s">
        <v>199</v>
      </c>
    </row>
    <row r="814" spans="1:25">
      <c r="A814" t="s">
        <v>995</v>
      </c>
      <c r="B814" s="113">
        <v>44841</v>
      </c>
      <c r="C814" t="s">
        <v>145</v>
      </c>
      <c r="D814" t="s">
        <v>146</v>
      </c>
      <c r="E814">
        <v>39</v>
      </c>
      <c r="F814">
        <v>658</v>
      </c>
      <c r="G814" t="s">
        <v>147</v>
      </c>
      <c r="H814">
        <v>44008.862809999999</v>
      </c>
      <c r="I814">
        <v>44008.862809999999</v>
      </c>
      <c r="J814" t="s">
        <v>148</v>
      </c>
      <c r="K814" t="s">
        <v>166</v>
      </c>
      <c r="L814">
        <v>5.7</v>
      </c>
      <c r="M814" t="s">
        <v>149</v>
      </c>
      <c r="N814">
        <v>4</v>
      </c>
      <c r="O814">
        <v>0.3</v>
      </c>
      <c r="P814">
        <v>1</v>
      </c>
      <c r="Q814">
        <v>950</v>
      </c>
      <c r="R814">
        <v>0.89777922399999999</v>
      </c>
      <c r="S814" t="s">
        <v>150</v>
      </c>
      <c r="T814" t="b">
        <v>1</v>
      </c>
      <c r="U814" t="s">
        <v>152</v>
      </c>
    </row>
    <row r="815" spans="1:25">
      <c r="A815" t="s">
        <v>996</v>
      </c>
      <c r="B815" s="113">
        <v>44842</v>
      </c>
      <c r="C815" t="s">
        <v>145</v>
      </c>
      <c r="D815" t="s">
        <v>280</v>
      </c>
      <c r="E815">
        <v>48</v>
      </c>
      <c r="F815">
        <v>699</v>
      </c>
      <c r="G815" t="s">
        <v>155</v>
      </c>
      <c r="H815">
        <v>44045.349309999998</v>
      </c>
      <c r="I815">
        <v>44045.349309999998</v>
      </c>
      <c r="J815" t="s">
        <v>183</v>
      </c>
      <c r="K815" t="s">
        <v>183</v>
      </c>
      <c r="L815">
        <v>4.5999999999999996</v>
      </c>
      <c r="M815" t="s">
        <v>149</v>
      </c>
      <c r="N815">
        <v>3</v>
      </c>
      <c r="O815">
        <v>18.2</v>
      </c>
      <c r="P815">
        <v>4</v>
      </c>
      <c r="Q815">
        <v>1300</v>
      </c>
      <c r="R815">
        <v>0.95648317199999999</v>
      </c>
      <c r="S815" t="s">
        <v>150</v>
      </c>
      <c r="T815" t="b">
        <v>0</v>
      </c>
      <c r="U815" t="s">
        <v>157</v>
      </c>
    </row>
    <row r="816" spans="1:25">
      <c r="A816" t="s">
        <v>997</v>
      </c>
      <c r="B816" s="113">
        <v>44843</v>
      </c>
      <c r="C816" t="s">
        <v>162</v>
      </c>
      <c r="D816" t="s">
        <v>190</v>
      </c>
      <c r="E816">
        <v>38</v>
      </c>
      <c r="F816">
        <v>764</v>
      </c>
      <c r="G816" t="s">
        <v>147</v>
      </c>
      <c r="H816">
        <v>28361.063310000001</v>
      </c>
      <c r="I816">
        <v>28361.063310000001</v>
      </c>
      <c r="J816" t="s">
        <v>156</v>
      </c>
      <c r="K816" t="s">
        <v>156</v>
      </c>
      <c r="L816">
        <v>7.9</v>
      </c>
      <c r="M816" t="s">
        <v>149</v>
      </c>
      <c r="N816">
        <v>0</v>
      </c>
      <c r="O816">
        <v>4.7</v>
      </c>
      <c r="P816">
        <v>3</v>
      </c>
      <c r="Q816">
        <v>1350</v>
      </c>
      <c r="R816">
        <v>0.99075334400000004</v>
      </c>
      <c r="S816" t="s">
        <v>150</v>
      </c>
      <c r="T816" t="b">
        <v>0</v>
      </c>
      <c r="U816" t="s">
        <v>157</v>
      </c>
    </row>
    <row r="817" spans="1:21">
      <c r="A817" t="s">
        <v>998</v>
      </c>
      <c r="B817" s="113">
        <v>44844</v>
      </c>
      <c r="C817" t="s">
        <v>159</v>
      </c>
      <c r="D817" t="s">
        <v>168</v>
      </c>
      <c r="E817">
        <v>60</v>
      </c>
      <c r="F817">
        <v>827</v>
      </c>
      <c r="G817" t="s">
        <v>155</v>
      </c>
      <c r="H817">
        <v>45900.187899999997</v>
      </c>
      <c r="I817">
        <v>45900.187899999997</v>
      </c>
      <c r="J817" t="s">
        <v>156</v>
      </c>
      <c r="K817" t="s">
        <v>156</v>
      </c>
      <c r="L817">
        <v>2.2999999999999998</v>
      </c>
      <c r="M817" t="s">
        <v>149</v>
      </c>
      <c r="N817">
        <v>1</v>
      </c>
      <c r="O817">
        <v>5.8</v>
      </c>
      <c r="P817">
        <v>3</v>
      </c>
      <c r="Q817">
        <v>1100</v>
      </c>
      <c r="R817">
        <v>0.99971429199999995</v>
      </c>
      <c r="S817" t="s">
        <v>150</v>
      </c>
      <c r="T817" t="b">
        <v>0</v>
      </c>
      <c r="U817" t="s">
        <v>157</v>
      </c>
    </row>
    <row r="818" spans="1:21">
      <c r="A818" t="s">
        <v>999</v>
      </c>
      <c r="B818" s="113">
        <v>44848</v>
      </c>
      <c r="C818" t="s">
        <v>162</v>
      </c>
      <c r="D818" t="s">
        <v>187</v>
      </c>
      <c r="E818">
        <v>56</v>
      </c>
      <c r="F818">
        <v>669</v>
      </c>
      <c r="G818" t="s">
        <v>147</v>
      </c>
      <c r="H818">
        <v>39667.982550000001</v>
      </c>
      <c r="I818">
        <v>39667.982550000001</v>
      </c>
      <c r="J818" t="s">
        <v>148</v>
      </c>
      <c r="K818" t="s">
        <v>148</v>
      </c>
      <c r="L818">
        <v>2.1</v>
      </c>
      <c r="M818" t="s">
        <v>149</v>
      </c>
      <c r="N818">
        <v>1</v>
      </c>
      <c r="O818">
        <v>0.5</v>
      </c>
      <c r="P818">
        <v>3</v>
      </c>
      <c r="Q818">
        <v>900</v>
      </c>
      <c r="R818">
        <v>0.98313710499999996</v>
      </c>
      <c r="S818" t="s">
        <v>198</v>
      </c>
      <c r="U818" t="s">
        <v>199</v>
      </c>
    </row>
    <row r="819" spans="1:21">
      <c r="A819" t="s">
        <v>1000</v>
      </c>
      <c r="B819" s="113">
        <v>44850</v>
      </c>
      <c r="C819" t="s">
        <v>162</v>
      </c>
      <c r="D819" t="s">
        <v>190</v>
      </c>
      <c r="E819">
        <v>31</v>
      </c>
      <c r="F819">
        <v>511</v>
      </c>
      <c r="G819" t="s">
        <v>155</v>
      </c>
      <c r="H819">
        <v>52966.013720000003</v>
      </c>
      <c r="I819">
        <v>52966.013720000003</v>
      </c>
      <c r="J819" t="s">
        <v>148</v>
      </c>
      <c r="K819" t="s">
        <v>148</v>
      </c>
      <c r="L819">
        <v>2.8</v>
      </c>
      <c r="M819" t="s">
        <v>149</v>
      </c>
      <c r="N819">
        <v>0</v>
      </c>
      <c r="O819">
        <v>3.7</v>
      </c>
      <c r="P819">
        <v>4</v>
      </c>
      <c r="Q819">
        <v>900</v>
      </c>
      <c r="R819">
        <v>0.94144525599999995</v>
      </c>
      <c r="S819" t="s">
        <v>150</v>
      </c>
      <c r="T819" t="b">
        <v>0</v>
      </c>
      <c r="U819" t="s">
        <v>157</v>
      </c>
    </row>
    <row r="820" spans="1:21">
      <c r="A820" t="s">
        <v>1001</v>
      </c>
      <c r="B820" s="113">
        <v>44852</v>
      </c>
      <c r="C820" t="s">
        <v>145</v>
      </c>
      <c r="D820" t="s">
        <v>280</v>
      </c>
      <c r="E820">
        <v>44</v>
      </c>
      <c r="F820">
        <v>760</v>
      </c>
      <c r="G820" t="s">
        <v>169</v>
      </c>
      <c r="H820">
        <v>115148.18799999999</v>
      </c>
      <c r="I820">
        <v>115148.18799999999</v>
      </c>
      <c r="J820" t="s">
        <v>156</v>
      </c>
      <c r="K820" t="s">
        <v>156</v>
      </c>
      <c r="L820">
        <v>3.2</v>
      </c>
      <c r="M820" t="s">
        <v>149</v>
      </c>
      <c r="N820">
        <v>2</v>
      </c>
      <c r="O820">
        <v>1.7</v>
      </c>
      <c r="P820">
        <v>3</v>
      </c>
      <c r="Q820">
        <v>1450</v>
      </c>
      <c r="R820">
        <v>0.87570377899999996</v>
      </c>
      <c r="S820" t="s">
        <v>150</v>
      </c>
      <c r="T820" t="b">
        <v>0</v>
      </c>
      <c r="U820" t="s">
        <v>157</v>
      </c>
    </row>
    <row r="821" spans="1:21">
      <c r="A821" t="s">
        <v>1002</v>
      </c>
      <c r="B821" s="113">
        <v>44853</v>
      </c>
      <c r="C821" t="s">
        <v>159</v>
      </c>
      <c r="D821" t="s">
        <v>209</v>
      </c>
      <c r="E821">
        <v>44</v>
      </c>
      <c r="F821">
        <v>578</v>
      </c>
      <c r="G821" t="s">
        <v>147</v>
      </c>
      <c r="H821">
        <v>51839.617120000003</v>
      </c>
      <c r="J821" t="s">
        <v>148</v>
      </c>
      <c r="K821" t="s">
        <v>166</v>
      </c>
      <c r="L821">
        <v>4.5999999999999996</v>
      </c>
      <c r="M821" t="s">
        <v>149</v>
      </c>
      <c r="N821">
        <v>3</v>
      </c>
      <c r="O821">
        <v>6.5</v>
      </c>
      <c r="P821">
        <v>3</v>
      </c>
      <c r="Q821">
        <v>1700</v>
      </c>
      <c r="R821">
        <v>0.78759206900000001</v>
      </c>
      <c r="S821" t="s">
        <v>150</v>
      </c>
      <c r="T821" t="b">
        <v>0</v>
      </c>
      <c r="U821" t="s">
        <v>157</v>
      </c>
    </row>
    <row r="822" spans="1:21">
      <c r="A822" t="s">
        <v>1003</v>
      </c>
      <c r="B822" s="113">
        <v>44854</v>
      </c>
      <c r="C822" t="s">
        <v>145</v>
      </c>
      <c r="D822" t="s">
        <v>213</v>
      </c>
      <c r="E822">
        <v>43</v>
      </c>
      <c r="F822">
        <v>552</v>
      </c>
      <c r="G822" t="s">
        <v>147</v>
      </c>
      <c r="H822">
        <v>49704.439469999998</v>
      </c>
      <c r="I822">
        <v>49704.439469999998</v>
      </c>
      <c r="J822" t="s">
        <v>148</v>
      </c>
      <c r="K822" t="s">
        <v>148</v>
      </c>
      <c r="L822">
        <v>0.7</v>
      </c>
      <c r="M822" t="s">
        <v>149</v>
      </c>
      <c r="N822">
        <v>1</v>
      </c>
      <c r="O822">
        <v>1.7</v>
      </c>
      <c r="P822">
        <v>2</v>
      </c>
      <c r="Q822">
        <v>1150</v>
      </c>
      <c r="R822">
        <v>0.67936097900000003</v>
      </c>
      <c r="S822" t="s">
        <v>150</v>
      </c>
      <c r="T822" t="b">
        <v>1</v>
      </c>
      <c r="U822" t="s">
        <v>152</v>
      </c>
    </row>
    <row r="823" spans="1:21">
      <c r="A823" t="s">
        <v>1004</v>
      </c>
      <c r="B823" s="113">
        <v>44855</v>
      </c>
      <c r="C823" t="s">
        <v>145</v>
      </c>
      <c r="D823" t="s">
        <v>154</v>
      </c>
      <c r="E823">
        <v>55</v>
      </c>
      <c r="F823">
        <v>817</v>
      </c>
      <c r="G823" t="s">
        <v>169</v>
      </c>
      <c r="H823">
        <v>40272.687969999999</v>
      </c>
      <c r="I823">
        <v>40272.687969999999</v>
      </c>
      <c r="J823" t="s">
        <v>183</v>
      </c>
      <c r="K823" t="s">
        <v>183</v>
      </c>
      <c r="L823">
        <v>5.4</v>
      </c>
      <c r="M823" t="s">
        <v>149</v>
      </c>
      <c r="N823">
        <v>1</v>
      </c>
      <c r="O823">
        <v>7.1</v>
      </c>
      <c r="P823">
        <v>3</v>
      </c>
      <c r="Q823">
        <v>1250</v>
      </c>
      <c r="R823">
        <v>0.55377531899999999</v>
      </c>
      <c r="S823" t="s">
        <v>150</v>
      </c>
      <c r="T823" t="b">
        <v>1</v>
      </c>
      <c r="U823" t="s">
        <v>152</v>
      </c>
    </row>
    <row r="824" spans="1:21">
      <c r="A824" t="s">
        <v>1005</v>
      </c>
      <c r="B824" s="113">
        <v>44856</v>
      </c>
      <c r="C824" t="s">
        <v>159</v>
      </c>
      <c r="D824" t="s">
        <v>209</v>
      </c>
      <c r="E824">
        <v>48</v>
      </c>
      <c r="F824">
        <v>822</v>
      </c>
      <c r="G824" t="s">
        <v>147</v>
      </c>
      <c r="H824">
        <v>58694.953220000003</v>
      </c>
      <c r="I824">
        <v>58694.953220000003</v>
      </c>
      <c r="J824" t="s">
        <v>170</v>
      </c>
      <c r="K824" t="s">
        <v>170</v>
      </c>
      <c r="L824">
        <v>0.4</v>
      </c>
      <c r="M824" t="s">
        <v>149</v>
      </c>
      <c r="N824">
        <v>3</v>
      </c>
      <c r="O824">
        <v>3.8</v>
      </c>
      <c r="P824">
        <v>2</v>
      </c>
      <c r="Q824">
        <v>1800</v>
      </c>
      <c r="R824">
        <v>0.41404322799999999</v>
      </c>
      <c r="S824" t="s">
        <v>150</v>
      </c>
      <c r="T824" t="b">
        <v>0</v>
      </c>
      <c r="U824" t="s">
        <v>157</v>
      </c>
    </row>
    <row r="825" spans="1:21">
      <c r="A825" t="s">
        <v>1006</v>
      </c>
      <c r="B825" s="113">
        <v>44857</v>
      </c>
      <c r="C825" t="s">
        <v>159</v>
      </c>
      <c r="D825" t="s">
        <v>160</v>
      </c>
      <c r="E825">
        <v>31</v>
      </c>
      <c r="F825">
        <v>663</v>
      </c>
      <c r="G825" t="s">
        <v>176</v>
      </c>
      <c r="H825">
        <v>87956.565459999998</v>
      </c>
      <c r="I825">
        <v>87956.565459999998</v>
      </c>
      <c r="J825" t="s">
        <v>183</v>
      </c>
      <c r="K825" t="s">
        <v>183</v>
      </c>
      <c r="L825">
        <v>5.5</v>
      </c>
      <c r="M825" t="s">
        <v>149</v>
      </c>
      <c r="N825">
        <v>2</v>
      </c>
      <c r="O825">
        <v>0.6</v>
      </c>
      <c r="P825">
        <v>3</v>
      </c>
      <c r="Q825">
        <v>2000</v>
      </c>
      <c r="R825">
        <v>0.26373422400000002</v>
      </c>
      <c r="S825" t="s">
        <v>150</v>
      </c>
      <c r="T825" t="b">
        <v>0</v>
      </c>
      <c r="U825" t="s">
        <v>157</v>
      </c>
    </row>
    <row r="826" spans="1:21">
      <c r="A826" t="s">
        <v>1007</v>
      </c>
      <c r="B826" s="113">
        <v>44858</v>
      </c>
      <c r="C826" t="s">
        <v>162</v>
      </c>
      <c r="D826" t="s">
        <v>163</v>
      </c>
      <c r="E826">
        <v>57</v>
      </c>
      <c r="F826">
        <v>522</v>
      </c>
      <c r="G826" t="s">
        <v>176</v>
      </c>
      <c r="H826">
        <v>58883.39314</v>
      </c>
      <c r="J826" t="s">
        <v>148</v>
      </c>
      <c r="K826" t="s">
        <v>148</v>
      </c>
      <c r="L826">
        <v>1.7</v>
      </c>
      <c r="M826" t="s">
        <v>149</v>
      </c>
      <c r="N826">
        <v>5</v>
      </c>
      <c r="O826">
        <v>10.3</v>
      </c>
      <c r="P826">
        <v>1</v>
      </c>
      <c r="Q826">
        <v>1600</v>
      </c>
      <c r="R826">
        <v>0.106688014</v>
      </c>
      <c r="S826" t="s">
        <v>150</v>
      </c>
      <c r="T826" t="b">
        <v>1</v>
      </c>
      <c r="U826" t="s">
        <v>152</v>
      </c>
    </row>
    <row r="827" spans="1:21">
      <c r="A827" t="s">
        <v>1008</v>
      </c>
      <c r="B827" s="113">
        <v>44859</v>
      </c>
      <c r="C827" t="s">
        <v>159</v>
      </c>
      <c r="D827" t="s">
        <v>168</v>
      </c>
      <c r="E827">
        <v>51</v>
      </c>
      <c r="F827">
        <v>746</v>
      </c>
      <c r="G827" t="s">
        <v>169</v>
      </c>
      <c r="H827">
        <v>17439.22667</v>
      </c>
      <c r="I827">
        <v>17439.22667</v>
      </c>
      <c r="J827" t="s">
        <v>148</v>
      </c>
      <c r="K827" t="s">
        <v>148</v>
      </c>
      <c r="L827">
        <v>3.5</v>
      </c>
      <c r="M827" t="s">
        <v>149</v>
      </c>
      <c r="N827">
        <v>4</v>
      </c>
      <c r="O827">
        <v>3.1</v>
      </c>
      <c r="P827">
        <v>3</v>
      </c>
      <c r="Q827">
        <v>1350</v>
      </c>
      <c r="R827">
        <v>5.3083587000000002E-2</v>
      </c>
      <c r="S827" t="s">
        <v>198</v>
      </c>
      <c r="U827" t="s">
        <v>199</v>
      </c>
    </row>
    <row r="828" spans="1:21">
      <c r="A828" t="s">
        <v>1009</v>
      </c>
      <c r="B828" s="113">
        <v>44859</v>
      </c>
      <c r="C828" t="s">
        <v>162</v>
      </c>
      <c r="D828" t="s">
        <v>195</v>
      </c>
      <c r="E828">
        <v>53</v>
      </c>
      <c r="F828">
        <v>782</v>
      </c>
      <c r="G828" t="s">
        <v>147</v>
      </c>
      <c r="H828">
        <v>56298.839549999997</v>
      </c>
      <c r="J828" t="s">
        <v>148</v>
      </c>
      <c r="K828" t="s">
        <v>148</v>
      </c>
      <c r="L828">
        <v>8.6</v>
      </c>
      <c r="M828" t="s">
        <v>149</v>
      </c>
      <c r="N828">
        <v>3</v>
      </c>
      <c r="O828">
        <v>13.7</v>
      </c>
      <c r="P828">
        <v>2</v>
      </c>
      <c r="Q828">
        <v>1450</v>
      </c>
      <c r="R828">
        <v>0.211499145</v>
      </c>
      <c r="S828" t="s">
        <v>150</v>
      </c>
      <c r="T828" t="b">
        <v>0</v>
      </c>
      <c r="U828" t="s">
        <v>157</v>
      </c>
    </row>
    <row r="829" spans="1:21">
      <c r="A829" t="s">
        <v>1010</v>
      </c>
      <c r="B829" s="113">
        <v>44860</v>
      </c>
      <c r="C829" t="s">
        <v>162</v>
      </c>
      <c r="D829" t="s">
        <v>179</v>
      </c>
      <c r="E829">
        <v>31</v>
      </c>
      <c r="F829">
        <v>722</v>
      </c>
      <c r="G829" t="s">
        <v>176</v>
      </c>
      <c r="H829">
        <v>74875.913539999994</v>
      </c>
      <c r="J829" t="s">
        <v>183</v>
      </c>
      <c r="K829" t="s">
        <v>183</v>
      </c>
      <c r="L829">
        <v>7.5</v>
      </c>
      <c r="M829" t="s">
        <v>149</v>
      </c>
      <c r="N829">
        <v>4</v>
      </c>
      <c r="O829">
        <v>0.2</v>
      </c>
      <c r="P829">
        <v>2</v>
      </c>
      <c r="Q829">
        <v>800</v>
      </c>
      <c r="R829">
        <v>0.36451186600000002</v>
      </c>
      <c r="S829" t="s">
        <v>150</v>
      </c>
      <c r="T829" t="b">
        <v>0</v>
      </c>
      <c r="U829" t="s">
        <v>157</v>
      </c>
    </row>
    <row r="830" spans="1:21">
      <c r="A830" t="s">
        <v>1011</v>
      </c>
      <c r="B830" s="113">
        <v>44861</v>
      </c>
      <c r="C830" t="s">
        <v>162</v>
      </c>
      <c r="D830" t="s">
        <v>190</v>
      </c>
      <c r="E830">
        <v>34</v>
      </c>
      <c r="F830">
        <v>662</v>
      </c>
      <c r="G830" t="s">
        <v>155</v>
      </c>
      <c r="H830">
        <v>49694.22236</v>
      </c>
      <c r="I830">
        <v>49694.22236</v>
      </c>
      <c r="J830" t="s">
        <v>148</v>
      </c>
      <c r="K830" t="s">
        <v>148</v>
      </c>
      <c r="L830">
        <v>5</v>
      </c>
      <c r="M830" t="s">
        <v>149</v>
      </c>
      <c r="N830">
        <v>2</v>
      </c>
      <c r="O830">
        <v>1.7</v>
      </c>
      <c r="P830">
        <v>1</v>
      </c>
      <c r="Q830">
        <v>1050</v>
      </c>
      <c r="R830">
        <v>0.50821297300000001</v>
      </c>
      <c r="S830" t="s">
        <v>150</v>
      </c>
      <c r="T830" t="b">
        <v>0</v>
      </c>
      <c r="U830" t="s">
        <v>157</v>
      </c>
    </row>
    <row r="831" spans="1:21">
      <c r="A831" t="s">
        <v>1012</v>
      </c>
      <c r="B831" s="113">
        <v>44862</v>
      </c>
      <c r="C831" t="s">
        <v>159</v>
      </c>
      <c r="D831" t="s">
        <v>168</v>
      </c>
      <c r="E831">
        <v>41</v>
      </c>
      <c r="F831">
        <v>498</v>
      </c>
      <c r="G831" t="s">
        <v>169</v>
      </c>
      <c r="H831">
        <v>46984.012360000001</v>
      </c>
      <c r="I831">
        <v>46984.012360000001</v>
      </c>
      <c r="J831" t="s">
        <v>148</v>
      </c>
      <c r="K831" t="s">
        <v>148</v>
      </c>
      <c r="L831">
        <v>0.5</v>
      </c>
      <c r="M831" t="s">
        <v>149</v>
      </c>
      <c r="N831">
        <v>3</v>
      </c>
      <c r="O831">
        <v>1.1000000000000001</v>
      </c>
      <c r="P831">
        <v>1</v>
      </c>
      <c r="Q831">
        <v>1050</v>
      </c>
      <c r="R831">
        <v>0.63893155899999998</v>
      </c>
      <c r="S831" t="s">
        <v>150</v>
      </c>
      <c r="T831" t="b">
        <v>0</v>
      </c>
      <c r="U831" t="s">
        <v>157</v>
      </c>
    </row>
    <row r="832" spans="1:21">
      <c r="A832" t="s">
        <v>1013</v>
      </c>
      <c r="B832" s="113">
        <v>44863</v>
      </c>
      <c r="C832" t="s">
        <v>159</v>
      </c>
      <c r="D832" t="s">
        <v>160</v>
      </c>
      <c r="E832">
        <v>44</v>
      </c>
      <c r="F832">
        <v>632</v>
      </c>
      <c r="G832" t="s">
        <v>155</v>
      </c>
      <c r="H832">
        <v>26078.883180000001</v>
      </c>
      <c r="I832">
        <v>26078.883180000001</v>
      </c>
      <c r="J832" t="s">
        <v>148</v>
      </c>
      <c r="K832" t="s">
        <v>148</v>
      </c>
      <c r="L832">
        <v>0.7</v>
      </c>
      <c r="M832" t="s">
        <v>149</v>
      </c>
      <c r="N832">
        <v>2</v>
      </c>
      <c r="O832">
        <v>2</v>
      </c>
      <c r="P832">
        <v>3</v>
      </c>
      <c r="Q832">
        <v>1150</v>
      </c>
      <c r="R832">
        <v>0.75332836199999997</v>
      </c>
      <c r="S832" t="s">
        <v>198</v>
      </c>
      <c r="U832" t="s">
        <v>199</v>
      </c>
    </row>
    <row r="833" spans="1:21">
      <c r="A833" t="s">
        <v>1014</v>
      </c>
      <c r="B833" s="113">
        <v>44870</v>
      </c>
      <c r="C833" t="s">
        <v>162</v>
      </c>
      <c r="D833" t="s">
        <v>179</v>
      </c>
      <c r="E833">
        <v>47</v>
      </c>
      <c r="F833">
        <v>373</v>
      </c>
      <c r="G833" t="s">
        <v>147</v>
      </c>
      <c r="H833">
        <v>93204.608129999993</v>
      </c>
      <c r="I833">
        <v>93204.608129999993</v>
      </c>
      <c r="J833" t="s">
        <v>148</v>
      </c>
      <c r="K833" t="s">
        <v>148</v>
      </c>
      <c r="L833">
        <v>4.5</v>
      </c>
      <c r="M833" t="s">
        <v>149</v>
      </c>
      <c r="N833">
        <v>2</v>
      </c>
      <c r="O833">
        <v>3.3</v>
      </c>
      <c r="P833">
        <v>1</v>
      </c>
      <c r="Q833">
        <v>1050</v>
      </c>
      <c r="R833">
        <v>0.84848106599999995</v>
      </c>
      <c r="S833" t="s">
        <v>150</v>
      </c>
      <c r="T833" t="b">
        <v>0</v>
      </c>
      <c r="U833" t="s">
        <v>157</v>
      </c>
    </row>
    <row r="834" spans="1:21">
      <c r="A834" t="s">
        <v>1015</v>
      </c>
      <c r="B834" s="113">
        <v>44874</v>
      </c>
      <c r="C834" t="s">
        <v>145</v>
      </c>
      <c r="D834" t="s">
        <v>213</v>
      </c>
      <c r="E834">
        <v>37</v>
      </c>
      <c r="F834">
        <v>725</v>
      </c>
      <c r="G834" t="s">
        <v>155</v>
      </c>
      <c r="H834">
        <v>77543.765220000001</v>
      </c>
      <c r="I834">
        <v>77543.765220000001</v>
      </c>
      <c r="J834" t="s">
        <v>183</v>
      </c>
      <c r="K834" t="s">
        <v>183</v>
      </c>
      <c r="L834">
        <v>4.8</v>
      </c>
      <c r="M834" t="s">
        <v>149</v>
      </c>
      <c r="N834">
        <v>3</v>
      </c>
      <c r="O834">
        <v>6.1</v>
      </c>
      <c r="P834">
        <v>2</v>
      </c>
      <c r="Q834">
        <v>1200</v>
      </c>
      <c r="R834">
        <v>0.92195895299999997</v>
      </c>
      <c r="S834" t="s">
        <v>150</v>
      </c>
      <c r="T834" t="b">
        <v>0</v>
      </c>
      <c r="U834" t="s">
        <v>157</v>
      </c>
    </row>
    <row r="835" spans="1:21">
      <c r="A835" t="s">
        <v>1016</v>
      </c>
      <c r="B835" s="113">
        <v>44874</v>
      </c>
      <c r="C835" t="s">
        <v>162</v>
      </c>
      <c r="D835" t="s">
        <v>179</v>
      </c>
      <c r="E835">
        <v>56</v>
      </c>
      <c r="F835">
        <v>625</v>
      </c>
      <c r="G835" t="s">
        <v>147</v>
      </c>
      <c r="H835">
        <v>194166.3339</v>
      </c>
      <c r="I835">
        <v>194166.3339</v>
      </c>
      <c r="J835" t="s">
        <v>156</v>
      </c>
      <c r="K835" t="s">
        <v>156</v>
      </c>
      <c r="L835">
        <v>4.8</v>
      </c>
      <c r="M835" t="s">
        <v>149</v>
      </c>
      <c r="N835">
        <v>2</v>
      </c>
      <c r="O835">
        <v>0.6</v>
      </c>
      <c r="P835">
        <v>3</v>
      </c>
      <c r="Q835">
        <v>1200</v>
      </c>
      <c r="R835">
        <v>0.97188499900000003</v>
      </c>
      <c r="S835" t="s">
        <v>150</v>
      </c>
      <c r="T835" t="b">
        <v>0</v>
      </c>
      <c r="U835" t="s">
        <v>157</v>
      </c>
    </row>
    <row r="836" spans="1:21">
      <c r="A836" t="s">
        <v>1017</v>
      </c>
      <c r="B836" s="113">
        <v>44879</v>
      </c>
      <c r="C836" t="s">
        <v>162</v>
      </c>
      <c r="D836" t="s">
        <v>163</v>
      </c>
      <c r="E836">
        <v>56</v>
      </c>
      <c r="F836">
        <v>786</v>
      </c>
      <c r="G836" t="s">
        <v>155</v>
      </c>
      <c r="H836">
        <v>137230.88190000001</v>
      </c>
      <c r="I836">
        <v>137230.88190000001</v>
      </c>
      <c r="J836" t="s">
        <v>181</v>
      </c>
      <c r="K836" t="s">
        <v>181</v>
      </c>
      <c r="L836">
        <v>3.5</v>
      </c>
      <c r="M836" t="s">
        <v>149</v>
      </c>
      <c r="N836">
        <v>5</v>
      </c>
      <c r="O836">
        <v>2.4</v>
      </c>
      <c r="P836">
        <v>4</v>
      </c>
      <c r="Q836">
        <v>1150</v>
      </c>
      <c r="R836">
        <v>0.99698382200000002</v>
      </c>
      <c r="S836" t="s">
        <v>150</v>
      </c>
      <c r="T836" t="b">
        <v>1</v>
      </c>
      <c r="U836" t="s">
        <v>152</v>
      </c>
    </row>
    <row r="837" spans="1:21">
      <c r="A837" t="s">
        <v>1018</v>
      </c>
      <c r="B837" s="113">
        <v>44879</v>
      </c>
      <c r="C837" t="s">
        <v>145</v>
      </c>
      <c r="D837" t="s">
        <v>213</v>
      </c>
      <c r="E837">
        <v>30</v>
      </c>
      <c r="F837">
        <v>774</v>
      </c>
      <c r="G837" t="s">
        <v>147</v>
      </c>
      <c r="H837">
        <v>36544.208440000002</v>
      </c>
      <c r="J837" t="s">
        <v>148</v>
      </c>
      <c r="K837" t="s">
        <v>148</v>
      </c>
      <c r="L837">
        <v>2.6</v>
      </c>
      <c r="M837" t="s">
        <v>149</v>
      </c>
      <c r="N837">
        <v>2</v>
      </c>
      <c r="O837">
        <v>17.7</v>
      </c>
      <c r="P837">
        <v>1</v>
      </c>
      <c r="Q837">
        <v>1850</v>
      </c>
      <c r="R837">
        <v>0.99661426099999995</v>
      </c>
      <c r="S837" t="s">
        <v>150</v>
      </c>
      <c r="T837" t="b">
        <v>0</v>
      </c>
      <c r="U837" t="s">
        <v>1019</v>
      </c>
    </row>
    <row r="838" spans="1:21">
      <c r="A838" t="s">
        <v>1020</v>
      </c>
      <c r="B838" s="113">
        <v>44881</v>
      </c>
      <c r="C838" t="s">
        <v>162</v>
      </c>
      <c r="D838" t="s">
        <v>193</v>
      </c>
      <c r="E838">
        <v>44</v>
      </c>
      <c r="F838">
        <v>724</v>
      </c>
      <c r="G838" t="s">
        <v>155</v>
      </c>
      <c r="H838">
        <v>33608.249159999999</v>
      </c>
      <c r="J838" t="s">
        <v>148</v>
      </c>
      <c r="K838" t="s">
        <v>148</v>
      </c>
      <c r="L838">
        <v>2.5</v>
      </c>
      <c r="M838" t="s">
        <v>149</v>
      </c>
      <c r="N838">
        <v>5</v>
      </c>
      <c r="O838">
        <v>5.7</v>
      </c>
      <c r="P838">
        <v>2</v>
      </c>
      <c r="Q838">
        <v>1350</v>
      </c>
      <c r="R838">
        <v>0.97078575700000003</v>
      </c>
      <c r="S838" t="s">
        <v>150</v>
      </c>
      <c r="T838" t="b">
        <v>0</v>
      </c>
      <c r="U838" t="s">
        <v>1019</v>
      </c>
    </row>
    <row r="839" spans="1:21">
      <c r="A839" t="s">
        <v>1021</v>
      </c>
      <c r="B839" s="113">
        <v>44881</v>
      </c>
      <c r="C839" t="s">
        <v>145</v>
      </c>
      <c r="D839" t="s">
        <v>172</v>
      </c>
      <c r="E839">
        <v>27</v>
      </c>
      <c r="F839">
        <v>782</v>
      </c>
      <c r="G839" t="s">
        <v>176</v>
      </c>
      <c r="H839">
        <v>51109.301950000001</v>
      </c>
      <c r="I839">
        <v>51109.301950000001</v>
      </c>
      <c r="J839" t="s">
        <v>148</v>
      </c>
      <c r="K839" t="s">
        <v>166</v>
      </c>
      <c r="L839">
        <v>2.6</v>
      </c>
      <c r="M839" t="s">
        <v>149</v>
      </c>
      <c r="N839">
        <v>4</v>
      </c>
      <c r="O839">
        <v>2.7</v>
      </c>
      <c r="P839">
        <v>2</v>
      </c>
      <c r="Q839">
        <v>800</v>
      </c>
      <c r="R839">
        <v>0.920158111</v>
      </c>
      <c r="S839" t="s">
        <v>150</v>
      </c>
      <c r="T839" t="b">
        <v>0</v>
      </c>
      <c r="U839" t="s">
        <v>1019</v>
      </c>
    </row>
    <row r="840" spans="1:21">
      <c r="A840" t="s">
        <v>1022</v>
      </c>
      <c r="B840" s="113">
        <v>44888</v>
      </c>
      <c r="C840" t="s">
        <v>145</v>
      </c>
      <c r="D840" t="s">
        <v>213</v>
      </c>
      <c r="E840">
        <v>33</v>
      </c>
      <c r="F840">
        <v>750</v>
      </c>
      <c r="G840" t="s">
        <v>169</v>
      </c>
      <c r="H840">
        <v>24850.484349999999</v>
      </c>
      <c r="J840" t="s">
        <v>156</v>
      </c>
      <c r="K840" t="s">
        <v>156</v>
      </c>
      <c r="L840">
        <v>23.4</v>
      </c>
      <c r="M840" t="s">
        <v>149</v>
      </c>
      <c r="N840">
        <v>3</v>
      </c>
      <c r="O840">
        <v>2</v>
      </c>
      <c r="P840">
        <v>4</v>
      </c>
      <c r="Q840">
        <v>1250</v>
      </c>
      <c r="R840">
        <v>0.84602462700000003</v>
      </c>
      <c r="S840" t="s">
        <v>150</v>
      </c>
      <c r="T840" t="b">
        <v>0</v>
      </c>
      <c r="U840" t="s">
        <v>1019</v>
      </c>
    </row>
    <row r="841" spans="1:21">
      <c r="A841" t="s">
        <v>1023</v>
      </c>
      <c r="B841" s="113">
        <v>44891</v>
      </c>
      <c r="C841" t="s">
        <v>162</v>
      </c>
      <c r="D841" t="s">
        <v>193</v>
      </c>
      <c r="E841">
        <v>41</v>
      </c>
      <c r="F841">
        <v>772</v>
      </c>
      <c r="G841" t="s">
        <v>169</v>
      </c>
      <c r="H841">
        <v>19004.45696</v>
      </c>
      <c r="I841">
        <v>19004.45696</v>
      </c>
      <c r="J841" t="s">
        <v>183</v>
      </c>
      <c r="K841" t="s">
        <v>183</v>
      </c>
      <c r="L841">
        <v>2.1</v>
      </c>
      <c r="M841" t="s">
        <v>149</v>
      </c>
      <c r="N841">
        <v>7</v>
      </c>
      <c r="O841">
        <v>3.9</v>
      </c>
      <c r="P841">
        <v>1</v>
      </c>
      <c r="Q841">
        <v>1150</v>
      </c>
      <c r="R841">
        <v>0.75027907699999996</v>
      </c>
      <c r="S841" t="s">
        <v>150</v>
      </c>
      <c r="T841" t="b">
        <v>0</v>
      </c>
      <c r="U841" t="s">
        <v>1019</v>
      </c>
    </row>
    <row r="842" spans="1:21">
      <c r="A842" t="s">
        <v>1024</v>
      </c>
      <c r="B842" s="113">
        <v>44895</v>
      </c>
      <c r="C842" t="s">
        <v>145</v>
      </c>
      <c r="D842" t="s">
        <v>213</v>
      </c>
      <c r="E842">
        <v>40</v>
      </c>
      <c r="F842">
        <v>624</v>
      </c>
      <c r="G842" t="s">
        <v>176</v>
      </c>
      <c r="H842">
        <v>58056.567669999997</v>
      </c>
      <c r="I842">
        <v>58056.567669999997</v>
      </c>
      <c r="J842" t="s">
        <v>148</v>
      </c>
      <c r="K842" t="s">
        <v>148</v>
      </c>
      <c r="L842">
        <v>5.2</v>
      </c>
      <c r="M842" t="s">
        <v>149</v>
      </c>
      <c r="N842">
        <v>1</v>
      </c>
      <c r="O842">
        <v>4.5</v>
      </c>
      <c r="P842">
        <v>2</v>
      </c>
      <c r="Q842">
        <v>950</v>
      </c>
      <c r="R842">
        <v>0.63536732299999998</v>
      </c>
      <c r="S842" t="s">
        <v>150</v>
      </c>
      <c r="T842" t="b">
        <v>0</v>
      </c>
      <c r="U842" t="s">
        <v>1019</v>
      </c>
    </row>
    <row r="843" spans="1:21">
      <c r="A843" t="s">
        <v>1025</v>
      </c>
      <c r="B843" s="113">
        <v>44898</v>
      </c>
      <c r="C843" t="s">
        <v>162</v>
      </c>
      <c r="D843" t="s">
        <v>179</v>
      </c>
      <c r="E843">
        <v>30</v>
      </c>
      <c r="F843">
        <v>725</v>
      </c>
      <c r="G843" t="s">
        <v>147</v>
      </c>
      <c r="H843">
        <v>30847.624100000001</v>
      </c>
      <c r="I843">
        <v>30847.624100000001</v>
      </c>
      <c r="J843" t="s">
        <v>148</v>
      </c>
      <c r="K843" t="s">
        <v>148</v>
      </c>
      <c r="L843">
        <v>5.8</v>
      </c>
      <c r="M843" t="s">
        <v>149</v>
      </c>
      <c r="N843">
        <v>6</v>
      </c>
      <c r="O843">
        <v>2.2000000000000002</v>
      </c>
      <c r="P843">
        <v>3</v>
      </c>
      <c r="Q843">
        <v>1150</v>
      </c>
      <c r="R843">
        <v>0.50422483500000004</v>
      </c>
      <c r="S843" t="s">
        <v>150</v>
      </c>
      <c r="T843" t="b">
        <v>0</v>
      </c>
      <c r="U843" t="s">
        <v>1019</v>
      </c>
    </row>
    <row r="844" spans="1:21">
      <c r="A844" t="s">
        <v>1026</v>
      </c>
      <c r="B844" s="113">
        <v>44899</v>
      </c>
      <c r="C844" t="s">
        <v>145</v>
      </c>
      <c r="D844" t="s">
        <v>154</v>
      </c>
      <c r="E844">
        <v>32</v>
      </c>
      <c r="F844">
        <v>626</v>
      </c>
      <c r="G844" t="s">
        <v>155</v>
      </c>
      <c r="H844">
        <v>20603.257989999998</v>
      </c>
      <c r="I844">
        <v>20603.257989999998</v>
      </c>
      <c r="J844" t="s">
        <v>148</v>
      </c>
      <c r="K844" t="s">
        <v>148</v>
      </c>
      <c r="L844">
        <v>5.8</v>
      </c>
      <c r="M844" t="s">
        <v>149</v>
      </c>
      <c r="N844">
        <v>4</v>
      </c>
      <c r="O844">
        <v>6.8</v>
      </c>
      <c r="P844">
        <v>3</v>
      </c>
      <c r="Q844">
        <v>1500</v>
      </c>
      <c r="R844">
        <v>0.36020170600000001</v>
      </c>
      <c r="S844" t="s">
        <v>150</v>
      </c>
      <c r="T844" t="b">
        <v>1</v>
      </c>
      <c r="U844" t="s">
        <v>152</v>
      </c>
    </row>
    <row r="845" spans="1:21">
      <c r="A845" t="s">
        <v>1027</v>
      </c>
      <c r="B845" s="113">
        <v>44900</v>
      </c>
      <c r="C845" t="s">
        <v>162</v>
      </c>
      <c r="D845" t="s">
        <v>190</v>
      </c>
      <c r="E845">
        <v>48</v>
      </c>
      <c r="F845">
        <v>786</v>
      </c>
      <c r="G845" t="s">
        <v>169</v>
      </c>
      <c r="H845">
        <v>41492.513980000003</v>
      </c>
      <c r="J845" t="s">
        <v>156</v>
      </c>
      <c r="K845" t="s">
        <v>156</v>
      </c>
      <c r="L845">
        <v>0.8</v>
      </c>
      <c r="M845" t="s">
        <v>149</v>
      </c>
      <c r="N845">
        <v>3</v>
      </c>
      <c r="O845">
        <v>0.6</v>
      </c>
      <c r="P845">
        <v>3</v>
      </c>
      <c r="Q845">
        <v>1400</v>
      </c>
      <c r="R845">
        <v>0.20697706799999999</v>
      </c>
      <c r="S845" t="s">
        <v>150</v>
      </c>
      <c r="T845" t="b">
        <v>0</v>
      </c>
      <c r="U845" t="s">
        <v>1019</v>
      </c>
    </row>
    <row r="846" spans="1:21">
      <c r="A846" t="s">
        <v>1028</v>
      </c>
      <c r="B846" s="113">
        <v>44903</v>
      </c>
      <c r="C846" t="s">
        <v>159</v>
      </c>
      <c r="D846" t="s">
        <v>160</v>
      </c>
      <c r="E846">
        <v>59</v>
      </c>
      <c r="F846">
        <v>583</v>
      </c>
      <c r="G846" t="s">
        <v>176</v>
      </c>
      <c r="H846">
        <v>47403.589809999998</v>
      </c>
      <c r="I846">
        <v>47403.589809999998</v>
      </c>
      <c r="J846" t="s">
        <v>148</v>
      </c>
      <c r="K846" t="s">
        <v>148</v>
      </c>
      <c r="L846">
        <v>3.4</v>
      </c>
      <c r="M846" t="s">
        <v>149</v>
      </c>
      <c r="N846">
        <v>0</v>
      </c>
      <c r="O846">
        <v>25.3</v>
      </c>
      <c r="P846">
        <v>0</v>
      </c>
      <c r="Q846">
        <v>1100</v>
      </c>
      <c r="R846">
        <v>4.8465110999999998E-2</v>
      </c>
      <c r="S846" t="s">
        <v>150</v>
      </c>
      <c r="T846" t="b">
        <v>1</v>
      </c>
      <c r="U846" t="s">
        <v>152</v>
      </c>
    </row>
    <row r="847" spans="1:21">
      <c r="A847" t="s">
        <v>1029</v>
      </c>
      <c r="B847" s="113">
        <v>44904</v>
      </c>
      <c r="C847" t="s">
        <v>145</v>
      </c>
      <c r="D847" t="s">
        <v>172</v>
      </c>
      <c r="E847">
        <v>50</v>
      </c>
      <c r="F847">
        <v>561</v>
      </c>
      <c r="G847" t="s">
        <v>155</v>
      </c>
      <c r="H847">
        <v>11755.910690000001</v>
      </c>
      <c r="I847">
        <v>11755.910690000001</v>
      </c>
      <c r="J847" t="s">
        <v>148</v>
      </c>
      <c r="K847" t="s">
        <v>148</v>
      </c>
      <c r="L847">
        <v>0.6</v>
      </c>
      <c r="M847" t="s">
        <v>149</v>
      </c>
      <c r="N847">
        <v>7</v>
      </c>
      <c r="O847">
        <v>3.4</v>
      </c>
      <c r="P847">
        <v>3</v>
      </c>
      <c r="Q847">
        <v>2000</v>
      </c>
      <c r="R847">
        <v>0.111284908</v>
      </c>
      <c r="S847" t="s">
        <v>198</v>
      </c>
      <c r="U847" t="s">
        <v>199</v>
      </c>
    </row>
    <row r="848" spans="1:21">
      <c r="A848" t="s">
        <v>1030</v>
      </c>
      <c r="B848" s="113">
        <v>44906</v>
      </c>
      <c r="C848" t="s">
        <v>162</v>
      </c>
      <c r="D848" t="s">
        <v>190</v>
      </c>
      <c r="E848">
        <v>29</v>
      </c>
      <c r="F848">
        <v>695</v>
      </c>
      <c r="G848" t="s">
        <v>147</v>
      </c>
      <c r="H848">
        <v>15908.39025</v>
      </c>
      <c r="I848">
        <v>15908.39025</v>
      </c>
      <c r="J848" t="s">
        <v>156</v>
      </c>
      <c r="K848" t="s">
        <v>156</v>
      </c>
      <c r="L848">
        <v>3.2</v>
      </c>
      <c r="M848" t="s">
        <v>151</v>
      </c>
      <c r="N848">
        <v>3</v>
      </c>
      <c r="O848">
        <v>10.199999999999999</v>
      </c>
      <c r="P848">
        <v>4</v>
      </c>
      <c r="Q848">
        <v>1150</v>
      </c>
      <c r="R848">
        <v>0.26819210599999999</v>
      </c>
      <c r="S848" t="s">
        <v>198</v>
      </c>
      <c r="U848" t="s">
        <v>199</v>
      </c>
    </row>
    <row r="849" spans="1:21">
      <c r="A849" t="s">
        <v>1031</v>
      </c>
      <c r="B849" s="113">
        <v>44906</v>
      </c>
      <c r="C849" t="s">
        <v>159</v>
      </c>
      <c r="D849" t="s">
        <v>168</v>
      </c>
      <c r="E849">
        <v>43</v>
      </c>
      <c r="F849">
        <v>661</v>
      </c>
      <c r="G849" t="s">
        <v>147</v>
      </c>
      <c r="H849">
        <v>43219.857170000003</v>
      </c>
      <c r="J849" t="s">
        <v>170</v>
      </c>
      <c r="K849" t="s">
        <v>170</v>
      </c>
      <c r="L849">
        <v>0.8</v>
      </c>
      <c r="M849" t="s">
        <v>149</v>
      </c>
      <c r="N849">
        <v>5</v>
      </c>
      <c r="O849">
        <v>6.3</v>
      </c>
      <c r="P849">
        <v>1</v>
      </c>
      <c r="Q849">
        <v>800</v>
      </c>
      <c r="R849">
        <v>0.41824822</v>
      </c>
      <c r="S849" t="s">
        <v>150</v>
      </c>
      <c r="T849" t="b">
        <v>0</v>
      </c>
      <c r="U849" t="s">
        <v>1019</v>
      </c>
    </row>
    <row r="850" spans="1:21">
      <c r="A850" t="s">
        <v>1032</v>
      </c>
      <c r="B850" s="113">
        <v>44907</v>
      </c>
      <c r="C850" t="s">
        <v>159</v>
      </c>
      <c r="D850" t="s">
        <v>160</v>
      </c>
      <c r="E850">
        <v>36</v>
      </c>
      <c r="F850">
        <v>679</v>
      </c>
      <c r="G850" t="s">
        <v>176</v>
      </c>
      <c r="H850">
        <v>90169.457259999996</v>
      </c>
      <c r="I850">
        <v>90169.457259999996</v>
      </c>
      <c r="J850" t="s">
        <v>148</v>
      </c>
      <c r="K850" t="s">
        <v>148</v>
      </c>
      <c r="L850">
        <v>12.7</v>
      </c>
      <c r="M850" t="s">
        <v>149</v>
      </c>
      <c r="N850">
        <v>5</v>
      </c>
      <c r="O850">
        <v>6.4</v>
      </c>
      <c r="P850">
        <v>3</v>
      </c>
      <c r="Q850">
        <v>1200</v>
      </c>
      <c r="R850">
        <v>0.55762000300000003</v>
      </c>
      <c r="S850" t="s">
        <v>150</v>
      </c>
      <c r="T850" t="b">
        <v>1</v>
      </c>
      <c r="U850" t="s">
        <v>152</v>
      </c>
    </row>
    <row r="851" spans="1:21">
      <c r="A851" t="s">
        <v>1033</v>
      </c>
      <c r="B851" s="113">
        <v>44909</v>
      </c>
      <c r="C851" t="s">
        <v>162</v>
      </c>
      <c r="D851" t="s">
        <v>179</v>
      </c>
      <c r="E851">
        <v>30</v>
      </c>
      <c r="F851">
        <v>622</v>
      </c>
      <c r="G851" t="s">
        <v>155</v>
      </c>
      <c r="H851">
        <v>84596.528120000003</v>
      </c>
      <c r="J851" t="s">
        <v>527</v>
      </c>
      <c r="K851" t="s">
        <v>221</v>
      </c>
      <c r="L851">
        <v>0.9</v>
      </c>
      <c r="M851" t="s">
        <v>149</v>
      </c>
      <c r="N851">
        <v>0</v>
      </c>
      <c r="O851">
        <v>10</v>
      </c>
      <c r="P851">
        <v>2</v>
      </c>
      <c r="Q851">
        <v>1250</v>
      </c>
      <c r="R851">
        <v>0.68274714000000003</v>
      </c>
      <c r="S851" t="s">
        <v>150</v>
      </c>
      <c r="T851" t="b">
        <v>0</v>
      </c>
      <c r="U851" t="s">
        <v>1019</v>
      </c>
    </row>
    <row r="852" spans="1:21">
      <c r="A852" t="s">
        <v>1034</v>
      </c>
      <c r="B852" s="113">
        <v>44914</v>
      </c>
      <c r="C852" t="s">
        <v>162</v>
      </c>
      <c r="D852" t="s">
        <v>190</v>
      </c>
      <c r="E852">
        <v>52</v>
      </c>
      <c r="F852">
        <v>749</v>
      </c>
      <c r="G852" t="s">
        <v>169</v>
      </c>
      <c r="H852">
        <v>72983.092780000006</v>
      </c>
      <c r="I852">
        <v>72983.092780000006</v>
      </c>
      <c r="J852" t="s">
        <v>156</v>
      </c>
      <c r="K852" t="s">
        <v>156</v>
      </c>
      <c r="L852">
        <v>0.9</v>
      </c>
      <c r="M852" t="s">
        <v>149</v>
      </c>
      <c r="N852">
        <v>3</v>
      </c>
      <c r="O852">
        <v>13.9</v>
      </c>
      <c r="P852">
        <v>2</v>
      </c>
      <c r="Q852">
        <v>1650</v>
      </c>
      <c r="R852">
        <v>0.79043320699999997</v>
      </c>
      <c r="S852" t="s">
        <v>150</v>
      </c>
      <c r="T852" t="b">
        <v>0</v>
      </c>
      <c r="U852" t="s">
        <v>1019</v>
      </c>
    </row>
    <row r="853" spans="1:21">
      <c r="A853" t="s">
        <v>1035</v>
      </c>
      <c r="B853" s="113">
        <v>44914</v>
      </c>
      <c r="C853" t="s">
        <v>159</v>
      </c>
      <c r="D853" t="s">
        <v>160</v>
      </c>
      <c r="E853">
        <v>50</v>
      </c>
      <c r="F853">
        <v>755</v>
      </c>
      <c r="G853" t="s">
        <v>155</v>
      </c>
      <c r="H853">
        <v>87160.442540000004</v>
      </c>
      <c r="I853">
        <v>87160.442540000004</v>
      </c>
      <c r="J853" t="s">
        <v>148</v>
      </c>
      <c r="K853" t="s">
        <v>148</v>
      </c>
      <c r="L853">
        <v>4</v>
      </c>
      <c r="M853" t="s">
        <v>149</v>
      </c>
      <c r="N853">
        <v>2</v>
      </c>
      <c r="O853">
        <v>2.7</v>
      </c>
      <c r="P853">
        <v>2</v>
      </c>
      <c r="Q853">
        <v>1450</v>
      </c>
      <c r="R853">
        <v>0.87792731400000001</v>
      </c>
      <c r="S853" t="s">
        <v>150</v>
      </c>
      <c r="T853" t="b">
        <v>0</v>
      </c>
      <c r="U853" t="s">
        <v>1019</v>
      </c>
    </row>
    <row r="854" spans="1:21">
      <c r="A854" t="s">
        <v>1036</v>
      </c>
      <c r="B854" s="113">
        <v>44916</v>
      </c>
      <c r="C854" t="s">
        <v>162</v>
      </c>
      <c r="D854" t="s">
        <v>163</v>
      </c>
      <c r="E854">
        <v>42</v>
      </c>
      <c r="F854">
        <v>819</v>
      </c>
      <c r="G854" t="s">
        <v>176</v>
      </c>
      <c r="H854">
        <v>36304.67828</v>
      </c>
      <c r="I854">
        <v>36304.67828</v>
      </c>
      <c r="J854" t="s">
        <v>148</v>
      </c>
      <c r="K854" t="s">
        <v>148</v>
      </c>
      <c r="L854">
        <v>2.5</v>
      </c>
      <c r="M854" t="s">
        <v>149</v>
      </c>
      <c r="N854">
        <v>4</v>
      </c>
      <c r="O854">
        <v>5.5</v>
      </c>
      <c r="P854">
        <v>3</v>
      </c>
      <c r="Q854">
        <v>1050</v>
      </c>
      <c r="R854">
        <v>0.94299438800000002</v>
      </c>
      <c r="S854" t="s">
        <v>150</v>
      </c>
      <c r="T854" t="b">
        <v>0</v>
      </c>
      <c r="U854" t="s">
        <v>1019</v>
      </c>
    </row>
    <row r="855" spans="1:21">
      <c r="A855" t="s">
        <v>1037</v>
      </c>
      <c r="B855" s="113">
        <v>44917</v>
      </c>
      <c r="C855" t="s">
        <v>162</v>
      </c>
      <c r="D855" t="s">
        <v>179</v>
      </c>
      <c r="E855">
        <v>48</v>
      </c>
      <c r="F855">
        <v>733</v>
      </c>
      <c r="G855" t="s">
        <v>176</v>
      </c>
      <c r="H855">
        <v>50528.270060000003</v>
      </c>
      <c r="I855">
        <v>50528.270060000003</v>
      </c>
      <c r="J855" t="s">
        <v>148</v>
      </c>
      <c r="K855" t="s">
        <v>148</v>
      </c>
      <c r="L855">
        <v>2.7</v>
      </c>
      <c r="M855" t="s">
        <v>149</v>
      </c>
      <c r="N855">
        <v>4</v>
      </c>
      <c r="O855">
        <v>1.8</v>
      </c>
      <c r="P855">
        <v>2</v>
      </c>
      <c r="Q855">
        <v>1000</v>
      </c>
      <c r="R855">
        <v>0.98397226199999999</v>
      </c>
      <c r="S855" t="s">
        <v>150</v>
      </c>
      <c r="T855" t="b">
        <v>0</v>
      </c>
      <c r="U855" t="s">
        <v>1019</v>
      </c>
    </row>
    <row r="856" spans="1:21">
      <c r="A856" t="s">
        <v>1038</v>
      </c>
      <c r="B856" s="113">
        <v>44919</v>
      </c>
      <c r="C856" t="s">
        <v>162</v>
      </c>
      <c r="D856" t="s">
        <v>179</v>
      </c>
      <c r="E856">
        <v>52</v>
      </c>
      <c r="F856">
        <v>690</v>
      </c>
      <c r="G856" t="s">
        <v>155</v>
      </c>
      <c r="H856">
        <v>117714.8671</v>
      </c>
      <c r="I856">
        <v>117714.8671</v>
      </c>
      <c r="J856" t="s">
        <v>148</v>
      </c>
      <c r="K856" t="s">
        <v>148</v>
      </c>
      <c r="L856">
        <v>3.4</v>
      </c>
      <c r="M856" t="s">
        <v>149</v>
      </c>
      <c r="N856">
        <v>2</v>
      </c>
      <c r="O856">
        <v>0</v>
      </c>
      <c r="P856">
        <v>3</v>
      </c>
      <c r="Q856">
        <v>1250</v>
      </c>
      <c r="R856">
        <v>0.99981413799999996</v>
      </c>
      <c r="S856" t="s">
        <v>150</v>
      </c>
      <c r="T856" t="b">
        <v>0</v>
      </c>
      <c r="U856" t="s">
        <v>1019</v>
      </c>
    </row>
    <row r="857" spans="1:21">
      <c r="A857" t="s">
        <v>1039</v>
      </c>
      <c r="B857" s="113">
        <v>44921</v>
      </c>
      <c r="C857" t="s">
        <v>162</v>
      </c>
      <c r="D857" t="s">
        <v>179</v>
      </c>
      <c r="E857">
        <v>47</v>
      </c>
      <c r="F857">
        <v>629</v>
      </c>
      <c r="G857" t="s">
        <v>176</v>
      </c>
      <c r="H857">
        <v>108423.4938</v>
      </c>
      <c r="I857">
        <v>108423.4938</v>
      </c>
      <c r="J857" t="s">
        <v>170</v>
      </c>
      <c r="K857" t="s">
        <v>170</v>
      </c>
      <c r="L857">
        <v>6</v>
      </c>
      <c r="M857" t="s">
        <v>149</v>
      </c>
      <c r="N857">
        <v>2</v>
      </c>
      <c r="O857">
        <v>0.2</v>
      </c>
      <c r="P857">
        <v>1</v>
      </c>
      <c r="Q857">
        <v>1250</v>
      </c>
      <c r="R857">
        <v>0.99011532899999999</v>
      </c>
      <c r="S857" t="s">
        <v>150</v>
      </c>
      <c r="T857" t="b">
        <v>0</v>
      </c>
      <c r="U857" t="s">
        <v>1019</v>
      </c>
    </row>
    <row r="858" spans="1:21">
      <c r="A858" t="s">
        <v>1040</v>
      </c>
      <c r="B858" s="113">
        <v>44931</v>
      </c>
      <c r="C858" t="s">
        <v>159</v>
      </c>
      <c r="D858" t="s">
        <v>165</v>
      </c>
      <c r="E858">
        <v>36</v>
      </c>
      <c r="F858">
        <v>629</v>
      </c>
      <c r="G858" t="s">
        <v>155</v>
      </c>
      <c r="H858">
        <v>113346.67630000001</v>
      </c>
      <c r="I858">
        <v>113346.67630000001</v>
      </c>
      <c r="J858" t="s">
        <v>156</v>
      </c>
      <c r="K858" t="s">
        <v>156</v>
      </c>
      <c r="L858">
        <v>4.5</v>
      </c>
      <c r="M858" t="s">
        <v>151</v>
      </c>
      <c r="N858">
        <v>4</v>
      </c>
      <c r="O858">
        <v>0.3</v>
      </c>
      <c r="P858">
        <v>3</v>
      </c>
      <c r="Q858">
        <v>1350</v>
      </c>
      <c r="R858">
        <v>0.95512359499999999</v>
      </c>
      <c r="S858" t="s">
        <v>150</v>
      </c>
      <c r="T858" t="b">
        <v>0</v>
      </c>
      <c r="U858" t="s">
        <v>1019</v>
      </c>
    </row>
    <row r="859" spans="1:21">
      <c r="A859" t="s">
        <v>1041</v>
      </c>
      <c r="B859" s="113">
        <v>44933</v>
      </c>
      <c r="C859" t="s">
        <v>145</v>
      </c>
      <c r="D859" t="s">
        <v>154</v>
      </c>
      <c r="E859">
        <v>46</v>
      </c>
      <c r="F859">
        <v>719</v>
      </c>
      <c r="G859" t="s">
        <v>147</v>
      </c>
      <c r="H859">
        <v>11763.335870000001</v>
      </c>
      <c r="J859" t="s">
        <v>148</v>
      </c>
      <c r="K859" t="s">
        <v>148</v>
      </c>
      <c r="L859">
        <v>9</v>
      </c>
      <c r="M859" t="s">
        <v>149</v>
      </c>
      <c r="N859">
        <v>0</v>
      </c>
      <c r="O859">
        <v>0.3</v>
      </c>
      <c r="P859">
        <v>4</v>
      </c>
      <c r="Q859">
        <v>950</v>
      </c>
      <c r="R859">
        <v>0.89573281400000004</v>
      </c>
      <c r="S859" t="s">
        <v>150</v>
      </c>
      <c r="T859" t="b">
        <v>0</v>
      </c>
      <c r="U859" t="s">
        <v>1019</v>
      </c>
    </row>
    <row r="860" spans="1:21">
      <c r="A860" t="s">
        <v>1042</v>
      </c>
      <c r="B860" s="113">
        <v>44934</v>
      </c>
      <c r="C860" t="s">
        <v>145</v>
      </c>
      <c r="D860" t="s">
        <v>172</v>
      </c>
      <c r="E860">
        <v>43</v>
      </c>
      <c r="F860">
        <v>714</v>
      </c>
      <c r="G860" t="s">
        <v>155</v>
      </c>
      <c r="H860">
        <v>108819.22070000001</v>
      </c>
      <c r="J860" t="s">
        <v>148</v>
      </c>
      <c r="K860" t="s">
        <v>148</v>
      </c>
      <c r="L860">
        <v>0.8</v>
      </c>
      <c r="M860" t="s">
        <v>149</v>
      </c>
      <c r="N860">
        <v>6</v>
      </c>
      <c r="O860">
        <v>2.4</v>
      </c>
      <c r="P860">
        <v>4</v>
      </c>
      <c r="Q860">
        <v>1100</v>
      </c>
      <c r="R860">
        <v>0.81346015100000002</v>
      </c>
      <c r="S860" t="s">
        <v>150</v>
      </c>
      <c r="T860" t="b">
        <v>0</v>
      </c>
      <c r="U860" t="s">
        <v>1019</v>
      </c>
    </row>
    <row r="861" spans="1:21">
      <c r="A861" t="s">
        <v>1043</v>
      </c>
      <c r="B861" s="113">
        <v>44935</v>
      </c>
      <c r="C861" t="s">
        <v>145</v>
      </c>
      <c r="D861" t="s">
        <v>154</v>
      </c>
      <c r="E861">
        <v>64</v>
      </c>
      <c r="F861">
        <v>648</v>
      </c>
      <c r="G861" t="s">
        <v>176</v>
      </c>
      <c r="H861">
        <v>43142.788249999998</v>
      </c>
      <c r="I861">
        <v>43142.788249999998</v>
      </c>
      <c r="J861" t="s">
        <v>148</v>
      </c>
      <c r="K861" t="s">
        <v>148</v>
      </c>
      <c r="L861">
        <v>2.9</v>
      </c>
      <c r="M861" t="s">
        <v>149</v>
      </c>
      <c r="N861">
        <v>1</v>
      </c>
      <c r="O861">
        <v>5.2</v>
      </c>
      <c r="P861">
        <v>3</v>
      </c>
      <c r="Q861">
        <v>1000</v>
      </c>
      <c r="R861">
        <v>0.71040729599999997</v>
      </c>
      <c r="S861" t="s">
        <v>150</v>
      </c>
      <c r="T861" t="b">
        <v>0</v>
      </c>
      <c r="U861" t="s">
        <v>1019</v>
      </c>
    </row>
    <row r="862" spans="1:21">
      <c r="A862" t="s">
        <v>1044</v>
      </c>
      <c r="B862" s="113">
        <v>44936</v>
      </c>
      <c r="C862" t="s">
        <v>145</v>
      </c>
      <c r="D862" t="s">
        <v>172</v>
      </c>
      <c r="E862">
        <v>55</v>
      </c>
      <c r="F862">
        <v>703</v>
      </c>
      <c r="G862" t="s">
        <v>155</v>
      </c>
      <c r="H862">
        <v>37038.588519999998</v>
      </c>
      <c r="I862">
        <v>37038.588519999998</v>
      </c>
      <c r="J862" t="s">
        <v>148</v>
      </c>
      <c r="K862" t="s">
        <v>148</v>
      </c>
      <c r="L862">
        <v>1.7</v>
      </c>
      <c r="M862" t="s">
        <v>149</v>
      </c>
      <c r="N862">
        <v>2</v>
      </c>
      <c r="O862">
        <v>0.2</v>
      </c>
      <c r="P862">
        <v>3</v>
      </c>
      <c r="Q862">
        <v>1550</v>
      </c>
      <c r="R862">
        <v>0.58920677899999996</v>
      </c>
      <c r="S862" t="s">
        <v>150</v>
      </c>
      <c r="T862" t="b">
        <v>1</v>
      </c>
      <c r="U862" t="s">
        <v>152</v>
      </c>
    </row>
    <row r="863" spans="1:21">
      <c r="A863" t="s">
        <v>1045</v>
      </c>
      <c r="B863" s="113">
        <v>44936</v>
      </c>
      <c r="C863" t="s">
        <v>162</v>
      </c>
      <c r="D863" t="s">
        <v>179</v>
      </c>
      <c r="E863">
        <v>70</v>
      </c>
      <c r="F863">
        <v>615</v>
      </c>
      <c r="G863" t="s">
        <v>147</v>
      </c>
      <c r="H863">
        <v>348955.47129999998</v>
      </c>
      <c r="I863">
        <v>348955.47129999998</v>
      </c>
      <c r="J863" t="s">
        <v>148</v>
      </c>
      <c r="K863" t="s">
        <v>148</v>
      </c>
      <c r="L863">
        <v>1.9</v>
      </c>
      <c r="M863" t="s">
        <v>149</v>
      </c>
      <c r="N863">
        <v>3</v>
      </c>
      <c r="O863">
        <v>1.4</v>
      </c>
      <c r="P863">
        <v>3</v>
      </c>
      <c r="Q863">
        <v>1400</v>
      </c>
      <c r="R863">
        <v>0.45295471900000001</v>
      </c>
      <c r="S863" t="s">
        <v>150</v>
      </c>
      <c r="T863" t="b">
        <v>0</v>
      </c>
      <c r="U863" t="s">
        <v>1019</v>
      </c>
    </row>
    <row r="864" spans="1:21">
      <c r="A864" t="s">
        <v>1046</v>
      </c>
      <c r="B864" s="113">
        <v>44944</v>
      </c>
      <c r="C864" t="s">
        <v>159</v>
      </c>
      <c r="D864" t="s">
        <v>209</v>
      </c>
      <c r="E864">
        <v>35</v>
      </c>
      <c r="F864">
        <v>813</v>
      </c>
      <c r="G864" t="s">
        <v>176</v>
      </c>
      <c r="H864">
        <v>82603.572209999998</v>
      </c>
      <c r="I864">
        <v>82603.572209999998</v>
      </c>
      <c r="J864" t="s">
        <v>148</v>
      </c>
      <c r="K864" t="s">
        <v>148</v>
      </c>
      <c r="L864">
        <v>2.4</v>
      </c>
      <c r="M864" t="s">
        <v>149</v>
      </c>
      <c r="N864">
        <v>5</v>
      </c>
      <c r="O864">
        <v>4.3</v>
      </c>
      <c r="P864">
        <v>3</v>
      </c>
      <c r="Q864">
        <v>1850</v>
      </c>
      <c r="R864">
        <v>0.30513173500000002</v>
      </c>
      <c r="S864" t="s">
        <v>150</v>
      </c>
      <c r="T864" t="b">
        <v>0</v>
      </c>
      <c r="U864" t="s">
        <v>1019</v>
      </c>
    </row>
    <row r="865" spans="1:21">
      <c r="A865" t="s">
        <v>1047</v>
      </c>
      <c r="B865" s="113">
        <v>44947</v>
      </c>
      <c r="C865" t="s">
        <v>159</v>
      </c>
      <c r="D865" t="s">
        <v>160</v>
      </c>
      <c r="E865">
        <v>37</v>
      </c>
      <c r="F865">
        <v>583</v>
      </c>
      <c r="G865" t="s">
        <v>155</v>
      </c>
      <c r="H865">
        <v>129758.1773</v>
      </c>
      <c r="I865">
        <v>129758.1773</v>
      </c>
      <c r="J865" t="s">
        <v>170</v>
      </c>
      <c r="K865" t="s">
        <v>170</v>
      </c>
      <c r="L865">
        <v>9</v>
      </c>
      <c r="M865" t="s">
        <v>149</v>
      </c>
      <c r="N865">
        <v>1</v>
      </c>
      <c r="O865">
        <v>2.6</v>
      </c>
      <c r="P865">
        <v>3</v>
      </c>
      <c r="Q865">
        <v>1150</v>
      </c>
      <c r="R865">
        <v>0.14951402799999999</v>
      </c>
      <c r="S865" t="s">
        <v>150</v>
      </c>
      <c r="T865" t="b">
        <v>1</v>
      </c>
      <c r="U865" t="s">
        <v>152</v>
      </c>
    </row>
    <row r="866" spans="1:21">
      <c r="A866" t="s">
        <v>1048</v>
      </c>
      <c r="B866" s="113">
        <v>44947</v>
      </c>
      <c r="C866" t="s">
        <v>162</v>
      </c>
      <c r="D866" t="s">
        <v>195</v>
      </c>
      <c r="E866">
        <v>61</v>
      </c>
      <c r="F866">
        <v>642</v>
      </c>
      <c r="G866" t="s">
        <v>169</v>
      </c>
      <c r="H866">
        <v>55578.79249</v>
      </c>
      <c r="I866">
        <v>55578.79249</v>
      </c>
      <c r="J866" t="s">
        <v>183</v>
      </c>
      <c r="K866" t="s">
        <v>183</v>
      </c>
      <c r="L866">
        <v>0.9</v>
      </c>
      <c r="M866" t="s">
        <v>149</v>
      </c>
      <c r="N866">
        <v>1</v>
      </c>
      <c r="O866">
        <v>5.3</v>
      </c>
      <c r="P866">
        <v>1</v>
      </c>
      <c r="Q866">
        <v>950</v>
      </c>
      <c r="R866">
        <v>9.9230789999999996E-3</v>
      </c>
      <c r="S866" t="s">
        <v>150</v>
      </c>
      <c r="T866" t="b">
        <v>0</v>
      </c>
      <c r="U866" t="s">
        <v>1019</v>
      </c>
    </row>
    <row r="867" spans="1:21">
      <c r="A867" t="s">
        <v>1049</v>
      </c>
      <c r="B867" s="113">
        <v>44948</v>
      </c>
      <c r="C867" t="s">
        <v>159</v>
      </c>
      <c r="D867" t="s">
        <v>160</v>
      </c>
      <c r="E867">
        <v>66</v>
      </c>
      <c r="F867">
        <v>668</v>
      </c>
      <c r="G867" t="s">
        <v>169</v>
      </c>
      <c r="H867">
        <v>89107.532689999993</v>
      </c>
      <c r="I867">
        <v>89107.532689999993</v>
      </c>
      <c r="J867" t="s">
        <v>249</v>
      </c>
      <c r="K867" t="s">
        <v>166</v>
      </c>
      <c r="L867">
        <v>9.1999999999999993</v>
      </c>
      <c r="M867" t="s">
        <v>149</v>
      </c>
      <c r="N867">
        <v>2</v>
      </c>
      <c r="O867">
        <v>4</v>
      </c>
      <c r="P867">
        <v>1</v>
      </c>
      <c r="Q867">
        <v>1000</v>
      </c>
      <c r="R867">
        <v>0.169106697</v>
      </c>
      <c r="S867" t="s">
        <v>150</v>
      </c>
      <c r="T867" t="b">
        <v>0</v>
      </c>
      <c r="U867" t="s">
        <v>1019</v>
      </c>
    </row>
    <row r="868" spans="1:21">
      <c r="A868" t="s">
        <v>1050</v>
      </c>
      <c r="B868" s="113">
        <v>44948</v>
      </c>
      <c r="C868" t="s">
        <v>159</v>
      </c>
      <c r="D868" t="s">
        <v>209</v>
      </c>
      <c r="E868">
        <v>26</v>
      </c>
      <c r="F868">
        <v>789</v>
      </c>
      <c r="G868" t="s">
        <v>155</v>
      </c>
      <c r="H868">
        <v>104198.0775</v>
      </c>
      <c r="I868">
        <v>104198.0775</v>
      </c>
      <c r="J868" t="s">
        <v>148</v>
      </c>
      <c r="K868" t="s">
        <v>148</v>
      </c>
      <c r="L868">
        <v>3.9</v>
      </c>
      <c r="M868" t="s">
        <v>151</v>
      </c>
      <c r="N868">
        <v>1</v>
      </c>
      <c r="O868">
        <v>5.2</v>
      </c>
      <c r="P868">
        <v>3</v>
      </c>
      <c r="Q868">
        <v>1050</v>
      </c>
      <c r="R868">
        <v>0.32397041100000001</v>
      </c>
      <c r="S868" t="s">
        <v>150</v>
      </c>
      <c r="T868" t="b">
        <v>1</v>
      </c>
      <c r="U868" t="s">
        <v>152</v>
      </c>
    </row>
    <row r="869" spans="1:21">
      <c r="A869" t="s">
        <v>1051</v>
      </c>
      <c r="B869" s="113">
        <v>44948</v>
      </c>
      <c r="C869" t="s">
        <v>162</v>
      </c>
      <c r="D869" t="s">
        <v>193</v>
      </c>
      <c r="E869">
        <v>34</v>
      </c>
      <c r="F869">
        <v>699</v>
      </c>
      <c r="G869" t="s">
        <v>169</v>
      </c>
      <c r="H869">
        <v>75724.647519999999</v>
      </c>
      <c r="I869">
        <v>75724.647519999999</v>
      </c>
      <c r="J869" t="s">
        <v>183</v>
      </c>
      <c r="K869" t="s">
        <v>183</v>
      </c>
      <c r="L869">
        <v>0.3</v>
      </c>
      <c r="M869" t="s">
        <v>149</v>
      </c>
      <c r="N869">
        <v>0</v>
      </c>
      <c r="O869">
        <v>13.8</v>
      </c>
      <c r="P869">
        <v>3</v>
      </c>
      <c r="Q869">
        <v>800</v>
      </c>
      <c r="R869">
        <v>0.47055816099999997</v>
      </c>
      <c r="S869" t="s">
        <v>150</v>
      </c>
      <c r="T869" t="b">
        <v>1</v>
      </c>
      <c r="U869" t="s">
        <v>152</v>
      </c>
    </row>
    <row r="870" spans="1:21">
      <c r="A870" t="s">
        <v>1052</v>
      </c>
      <c r="B870" s="113">
        <v>44949</v>
      </c>
      <c r="C870" t="s">
        <v>162</v>
      </c>
      <c r="D870" t="s">
        <v>195</v>
      </c>
      <c r="E870">
        <v>57</v>
      </c>
      <c r="F870">
        <v>666</v>
      </c>
      <c r="G870" t="s">
        <v>169</v>
      </c>
      <c r="H870">
        <v>38122.930209999999</v>
      </c>
      <c r="I870">
        <v>38122.930209999999</v>
      </c>
      <c r="J870" t="s">
        <v>183</v>
      </c>
      <c r="K870" t="s">
        <v>183</v>
      </c>
      <c r="L870">
        <v>1.6</v>
      </c>
      <c r="M870" t="s">
        <v>149</v>
      </c>
      <c r="N870">
        <v>5</v>
      </c>
      <c r="O870">
        <v>6.4</v>
      </c>
      <c r="P870">
        <v>3</v>
      </c>
      <c r="Q870">
        <v>800</v>
      </c>
      <c r="R870">
        <v>0.60512529800000003</v>
      </c>
      <c r="S870" t="s">
        <v>150</v>
      </c>
      <c r="T870" t="b">
        <v>0</v>
      </c>
      <c r="U870" t="s">
        <v>1019</v>
      </c>
    </row>
    <row r="871" spans="1:21">
      <c r="A871" t="s">
        <v>1053</v>
      </c>
      <c r="B871" s="113">
        <v>44951</v>
      </c>
      <c r="C871" t="s">
        <v>159</v>
      </c>
      <c r="D871" t="s">
        <v>209</v>
      </c>
      <c r="E871">
        <v>58</v>
      </c>
      <c r="F871">
        <v>671</v>
      </c>
      <c r="G871" t="s">
        <v>169</v>
      </c>
      <c r="H871">
        <v>243756.9564</v>
      </c>
      <c r="I871">
        <v>243756.9564</v>
      </c>
      <c r="J871" t="s">
        <v>156</v>
      </c>
      <c r="K871" t="s">
        <v>156</v>
      </c>
      <c r="L871">
        <v>16.399999999999999</v>
      </c>
      <c r="M871" t="s">
        <v>149</v>
      </c>
      <c r="N871">
        <v>3</v>
      </c>
      <c r="O871">
        <v>2.7</v>
      </c>
      <c r="P871">
        <v>2</v>
      </c>
      <c r="Q871">
        <v>1050</v>
      </c>
      <c r="R871">
        <v>0.72423424800000002</v>
      </c>
      <c r="S871" t="s">
        <v>150</v>
      </c>
      <c r="T871" t="b">
        <v>1</v>
      </c>
      <c r="U871" t="s">
        <v>152</v>
      </c>
    </row>
    <row r="872" spans="1:21">
      <c r="A872" t="s">
        <v>1054</v>
      </c>
      <c r="B872" s="113">
        <v>44952</v>
      </c>
      <c r="C872" t="s">
        <v>162</v>
      </c>
      <c r="D872" t="s">
        <v>193</v>
      </c>
      <c r="E872">
        <v>44</v>
      </c>
      <c r="F872">
        <v>760</v>
      </c>
      <c r="G872" t="s">
        <v>155</v>
      </c>
      <c r="H872">
        <v>50993.315069999997</v>
      </c>
      <c r="J872" t="s">
        <v>156</v>
      </c>
      <c r="K872" t="s">
        <v>156</v>
      </c>
      <c r="L872">
        <v>0.8</v>
      </c>
      <c r="M872" t="s">
        <v>149</v>
      </c>
      <c r="N872">
        <v>3</v>
      </c>
      <c r="O872">
        <v>0.2</v>
      </c>
      <c r="P872">
        <v>2</v>
      </c>
      <c r="Q872">
        <v>1100</v>
      </c>
      <c r="R872">
        <v>0.82484232000000002</v>
      </c>
      <c r="S872" t="s">
        <v>150</v>
      </c>
      <c r="T872" t="b">
        <v>1</v>
      </c>
      <c r="U872" t="s">
        <v>152</v>
      </c>
    </row>
    <row r="873" spans="1:21">
      <c r="A873" t="s">
        <v>1055</v>
      </c>
      <c r="B873" s="113">
        <v>44957</v>
      </c>
      <c r="C873" t="s">
        <v>145</v>
      </c>
      <c r="D873" t="s">
        <v>213</v>
      </c>
      <c r="E873">
        <v>35</v>
      </c>
      <c r="F873">
        <v>635</v>
      </c>
      <c r="G873" t="s">
        <v>176</v>
      </c>
      <c r="H873">
        <v>30224.49181</v>
      </c>
      <c r="I873">
        <v>30224.49181</v>
      </c>
      <c r="J873" t="s">
        <v>170</v>
      </c>
      <c r="K873" t="s">
        <v>166</v>
      </c>
      <c r="L873">
        <v>0.8</v>
      </c>
      <c r="M873" t="s">
        <v>149</v>
      </c>
      <c r="N873">
        <v>6</v>
      </c>
      <c r="O873">
        <v>3</v>
      </c>
      <c r="P873">
        <v>2</v>
      </c>
      <c r="Q873">
        <v>1200</v>
      </c>
      <c r="R873">
        <v>0.90437943700000001</v>
      </c>
      <c r="S873" t="s">
        <v>150</v>
      </c>
      <c r="T873" t="b">
        <v>0</v>
      </c>
      <c r="U873" t="s">
        <v>1019</v>
      </c>
    </row>
    <row r="874" spans="1:21">
      <c r="A874" t="s">
        <v>1056</v>
      </c>
      <c r="B874" s="113">
        <v>44959</v>
      </c>
      <c r="C874" t="s">
        <v>159</v>
      </c>
      <c r="D874" t="s">
        <v>209</v>
      </c>
      <c r="E874">
        <v>51</v>
      </c>
      <c r="F874">
        <v>768</v>
      </c>
      <c r="G874" t="s">
        <v>155</v>
      </c>
      <c r="H874">
        <v>35151.758500000004</v>
      </c>
      <c r="J874" t="s">
        <v>148</v>
      </c>
      <c r="K874" t="s">
        <v>148</v>
      </c>
      <c r="L874">
        <v>2.6</v>
      </c>
      <c r="M874" t="s">
        <v>149</v>
      </c>
      <c r="N874">
        <v>1</v>
      </c>
      <c r="O874">
        <v>0.3</v>
      </c>
      <c r="P874">
        <v>1</v>
      </c>
      <c r="Q874">
        <v>950</v>
      </c>
      <c r="R874">
        <v>0.96081379</v>
      </c>
      <c r="S874" t="s">
        <v>150</v>
      </c>
      <c r="T874" t="b">
        <v>0</v>
      </c>
      <c r="U874" t="s">
        <v>1019</v>
      </c>
    </row>
    <row r="875" spans="1:21">
      <c r="A875" t="s">
        <v>1057</v>
      </c>
      <c r="B875" s="113">
        <v>44960</v>
      </c>
      <c r="C875" t="s">
        <v>159</v>
      </c>
      <c r="D875" t="s">
        <v>168</v>
      </c>
      <c r="E875">
        <v>47</v>
      </c>
      <c r="F875">
        <v>536</v>
      </c>
      <c r="G875" t="s">
        <v>155</v>
      </c>
      <c r="H875">
        <v>23366.761050000001</v>
      </c>
      <c r="J875" t="s">
        <v>148</v>
      </c>
      <c r="K875" t="s">
        <v>148</v>
      </c>
      <c r="L875">
        <v>0.4</v>
      </c>
      <c r="M875" t="s">
        <v>149</v>
      </c>
      <c r="N875">
        <v>2</v>
      </c>
      <c r="O875">
        <v>0</v>
      </c>
      <c r="P875">
        <v>4</v>
      </c>
      <c r="Q875">
        <v>800</v>
      </c>
      <c r="R875">
        <v>0.99270373899999997</v>
      </c>
      <c r="S875" t="s">
        <v>198</v>
      </c>
      <c r="U875" t="s">
        <v>199</v>
      </c>
    </row>
    <row r="876" spans="1:21">
      <c r="A876" t="s">
        <v>1058</v>
      </c>
      <c r="B876" s="113">
        <v>44960</v>
      </c>
      <c r="C876" t="s">
        <v>159</v>
      </c>
      <c r="D876" t="s">
        <v>168</v>
      </c>
      <c r="E876">
        <v>32</v>
      </c>
      <c r="F876">
        <v>653</v>
      </c>
      <c r="G876" t="s">
        <v>147</v>
      </c>
      <c r="H876">
        <v>30523.97712</v>
      </c>
      <c r="I876">
        <v>30523.97712</v>
      </c>
      <c r="J876" t="s">
        <v>148</v>
      </c>
      <c r="K876" t="s">
        <v>148</v>
      </c>
      <c r="L876">
        <v>18.100000000000001</v>
      </c>
      <c r="M876" t="s">
        <v>149</v>
      </c>
      <c r="N876">
        <v>1</v>
      </c>
      <c r="O876">
        <v>4.5999999999999996</v>
      </c>
      <c r="P876">
        <v>2</v>
      </c>
      <c r="Q876">
        <v>1150</v>
      </c>
      <c r="R876">
        <v>0.99923463999999995</v>
      </c>
      <c r="S876" t="s">
        <v>150</v>
      </c>
      <c r="T876" t="b">
        <v>0</v>
      </c>
      <c r="U876" t="s">
        <v>1019</v>
      </c>
    </row>
    <row r="877" spans="1:21">
      <c r="A877" t="s">
        <v>1059</v>
      </c>
      <c r="B877" s="113">
        <v>44964</v>
      </c>
      <c r="C877" t="s">
        <v>159</v>
      </c>
      <c r="D877" t="s">
        <v>165</v>
      </c>
      <c r="E877">
        <v>30</v>
      </c>
      <c r="F877">
        <v>587</v>
      </c>
      <c r="G877" t="s">
        <v>176</v>
      </c>
      <c r="H877">
        <v>69107.612139999997</v>
      </c>
      <c r="I877">
        <v>69107.612139999997</v>
      </c>
      <c r="J877" t="s">
        <v>183</v>
      </c>
      <c r="K877" t="s">
        <v>183</v>
      </c>
      <c r="L877">
        <v>2.1</v>
      </c>
      <c r="M877" t="s">
        <v>149</v>
      </c>
      <c r="N877">
        <v>1</v>
      </c>
      <c r="O877">
        <v>6.7</v>
      </c>
      <c r="P877">
        <v>3</v>
      </c>
      <c r="Q877">
        <v>1450</v>
      </c>
      <c r="R877">
        <v>0.98023965899999999</v>
      </c>
      <c r="S877" t="s">
        <v>198</v>
      </c>
      <c r="U877" t="s">
        <v>199</v>
      </c>
    </row>
    <row r="878" spans="1:21">
      <c r="A878" t="s">
        <v>1060</v>
      </c>
      <c r="B878" s="113">
        <v>44964</v>
      </c>
      <c r="C878" t="s">
        <v>162</v>
      </c>
      <c r="D878" t="s">
        <v>187</v>
      </c>
      <c r="E878">
        <v>35</v>
      </c>
      <c r="F878">
        <v>603</v>
      </c>
      <c r="G878" t="s">
        <v>169</v>
      </c>
      <c r="H878">
        <v>39912.555659999998</v>
      </c>
      <c r="I878">
        <v>39912.555659999998</v>
      </c>
      <c r="J878" t="s">
        <v>148</v>
      </c>
      <c r="K878" t="s">
        <v>148</v>
      </c>
      <c r="L878">
        <v>2.5</v>
      </c>
      <c r="M878" t="s">
        <v>149</v>
      </c>
      <c r="N878">
        <v>2</v>
      </c>
      <c r="O878">
        <v>0.3</v>
      </c>
      <c r="P878">
        <v>3</v>
      </c>
      <c r="Q878">
        <v>800</v>
      </c>
      <c r="R878">
        <v>0.93620403200000002</v>
      </c>
      <c r="S878" t="s">
        <v>150</v>
      </c>
      <c r="T878" t="b">
        <v>0</v>
      </c>
      <c r="U878" t="s">
        <v>1019</v>
      </c>
    </row>
    <row r="879" spans="1:21">
      <c r="A879" t="s">
        <v>1061</v>
      </c>
      <c r="B879" s="113">
        <v>44970</v>
      </c>
      <c r="C879" t="s">
        <v>145</v>
      </c>
      <c r="D879" t="s">
        <v>213</v>
      </c>
      <c r="E879">
        <v>41</v>
      </c>
      <c r="F879">
        <v>677</v>
      </c>
      <c r="G879" t="s">
        <v>147</v>
      </c>
      <c r="H879">
        <v>17304.251100000001</v>
      </c>
      <c r="I879">
        <v>17304.251100000001</v>
      </c>
      <c r="J879" t="s">
        <v>156</v>
      </c>
      <c r="K879" t="s">
        <v>156</v>
      </c>
      <c r="L879">
        <v>1</v>
      </c>
      <c r="M879" t="s">
        <v>149</v>
      </c>
      <c r="N879">
        <v>3</v>
      </c>
      <c r="O879">
        <v>11.1</v>
      </c>
      <c r="P879">
        <v>3</v>
      </c>
      <c r="Q879">
        <v>950</v>
      </c>
      <c r="R879">
        <v>0.86825266700000003</v>
      </c>
      <c r="S879" t="s">
        <v>198</v>
      </c>
      <c r="U879" t="s">
        <v>199</v>
      </c>
    </row>
    <row r="880" spans="1:21">
      <c r="A880" t="s">
        <v>1062</v>
      </c>
      <c r="B880" s="113">
        <v>44971</v>
      </c>
      <c r="C880" t="s">
        <v>159</v>
      </c>
      <c r="D880" t="s">
        <v>168</v>
      </c>
      <c r="E880">
        <v>39</v>
      </c>
      <c r="F880">
        <v>693</v>
      </c>
      <c r="G880" t="s">
        <v>147</v>
      </c>
      <c r="H880">
        <v>95153.574890000004</v>
      </c>
      <c r="I880">
        <v>95153.574890000004</v>
      </c>
      <c r="J880" t="s">
        <v>148</v>
      </c>
      <c r="K880" t="s">
        <v>148</v>
      </c>
      <c r="L880">
        <v>0.6</v>
      </c>
      <c r="M880" t="s">
        <v>149</v>
      </c>
      <c r="N880">
        <v>1</v>
      </c>
      <c r="O880">
        <v>1.9</v>
      </c>
      <c r="P880">
        <v>0</v>
      </c>
      <c r="Q880">
        <v>800</v>
      </c>
      <c r="R880">
        <v>0.77812141199999996</v>
      </c>
      <c r="S880" t="s">
        <v>150</v>
      </c>
      <c r="T880" t="b">
        <v>0</v>
      </c>
      <c r="U880" t="s">
        <v>1019</v>
      </c>
    </row>
    <row r="881" spans="1:21">
      <c r="A881" t="s">
        <v>1063</v>
      </c>
      <c r="B881" s="113">
        <v>44975</v>
      </c>
      <c r="C881" t="s">
        <v>162</v>
      </c>
      <c r="D881" t="s">
        <v>193</v>
      </c>
      <c r="E881">
        <v>40</v>
      </c>
      <c r="F881">
        <v>662</v>
      </c>
      <c r="G881" t="s">
        <v>169</v>
      </c>
      <c r="H881">
        <v>34088.84633</v>
      </c>
      <c r="I881">
        <v>34088.84633</v>
      </c>
      <c r="J881" t="s">
        <v>148</v>
      </c>
      <c r="K881" t="s">
        <v>148</v>
      </c>
      <c r="L881">
        <v>2.1</v>
      </c>
      <c r="M881" t="s">
        <v>149</v>
      </c>
      <c r="N881">
        <v>2</v>
      </c>
      <c r="O881">
        <v>2.6</v>
      </c>
      <c r="P881">
        <v>3</v>
      </c>
      <c r="Q881">
        <v>1500</v>
      </c>
      <c r="R881">
        <v>0.668112708</v>
      </c>
      <c r="S881" t="s">
        <v>150</v>
      </c>
      <c r="T881" t="b">
        <v>0</v>
      </c>
      <c r="U881" t="s">
        <v>1019</v>
      </c>
    </row>
    <row r="882" spans="1:21">
      <c r="A882" t="s">
        <v>1064</v>
      </c>
      <c r="B882" s="113">
        <v>44976</v>
      </c>
      <c r="C882" t="s">
        <v>145</v>
      </c>
      <c r="D882" t="s">
        <v>213</v>
      </c>
      <c r="E882">
        <v>35</v>
      </c>
      <c r="F882">
        <v>836</v>
      </c>
      <c r="G882" t="s">
        <v>147</v>
      </c>
      <c r="H882">
        <v>16204.945890000001</v>
      </c>
      <c r="I882">
        <v>16204.945890000001</v>
      </c>
      <c r="J882" t="s">
        <v>148</v>
      </c>
      <c r="K882" t="s">
        <v>148</v>
      </c>
      <c r="L882">
        <v>5.9</v>
      </c>
      <c r="M882" t="s">
        <v>149</v>
      </c>
      <c r="N882">
        <v>2</v>
      </c>
      <c r="O882">
        <v>9.6</v>
      </c>
      <c r="P882">
        <v>4</v>
      </c>
      <c r="Q882">
        <v>1400</v>
      </c>
      <c r="R882">
        <v>0.54103677500000003</v>
      </c>
      <c r="S882" t="s">
        <v>150</v>
      </c>
      <c r="T882" t="b">
        <v>1</v>
      </c>
      <c r="U882" t="s">
        <v>152</v>
      </c>
    </row>
    <row r="883" spans="1:21">
      <c r="A883" t="s">
        <v>1065</v>
      </c>
      <c r="B883" s="113">
        <v>44977</v>
      </c>
      <c r="C883" t="s">
        <v>159</v>
      </c>
      <c r="D883" t="s">
        <v>209</v>
      </c>
      <c r="E883">
        <v>43</v>
      </c>
      <c r="F883">
        <v>648</v>
      </c>
      <c r="G883" t="s">
        <v>155</v>
      </c>
      <c r="H883">
        <v>9514.9410690000004</v>
      </c>
      <c r="I883">
        <v>9514.9410690000004</v>
      </c>
      <c r="J883" t="s">
        <v>148</v>
      </c>
      <c r="K883" t="s">
        <v>148</v>
      </c>
      <c r="L883">
        <v>7.6</v>
      </c>
      <c r="M883" t="s">
        <v>149</v>
      </c>
      <c r="N883">
        <v>4</v>
      </c>
      <c r="O883">
        <v>0.5</v>
      </c>
      <c r="P883">
        <v>1</v>
      </c>
      <c r="Q883">
        <v>2000</v>
      </c>
      <c r="R883">
        <v>0.40013982399999998</v>
      </c>
      <c r="S883" t="s">
        <v>198</v>
      </c>
      <c r="U883" t="s">
        <v>199</v>
      </c>
    </row>
    <row r="884" spans="1:21">
      <c r="A884" t="s">
        <v>1066</v>
      </c>
      <c r="B884" s="113">
        <v>44978</v>
      </c>
      <c r="C884" t="s">
        <v>145</v>
      </c>
      <c r="D884" t="s">
        <v>213</v>
      </c>
      <c r="E884">
        <v>30</v>
      </c>
      <c r="F884">
        <v>718</v>
      </c>
      <c r="G884" t="s">
        <v>147</v>
      </c>
      <c r="H884">
        <v>5513718</v>
      </c>
      <c r="I884">
        <v>5513718</v>
      </c>
      <c r="J884" t="s">
        <v>249</v>
      </c>
      <c r="K884" t="s">
        <v>249</v>
      </c>
      <c r="L884">
        <v>2.1</v>
      </c>
      <c r="M884" t="s">
        <v>149</v>
      </c>
      <c r="N884">
        <v>3</v>
      </c>
      <c r="O884">
        <v>9.6999999999999993</v>
      </c>
      <c r="P884">
        <v>3</v>
      </c>
      <c r="Q884">
        <v>0</v>
      </c>
      <c r="R884">
        <v>0.24902112700000001</v>
      </c>
      <c r="S884" t="s">
        <v>198</v>
      </c>
      <c r="T884" t="b">
        <v>0</v>
      </c>
      <c r="U884" t="s">
        <v>199</v>
      </c>
    </row>
    <row r="885" spans="1:21">
      <c r="A885" t="s">
        <v>1067</v>
      </c>
      <c r="B885" s="113">
        <v>44979</v>
      </c>
      <c r="C885" t="s">
        <v>159</v>
      </c>
      <c r="D885" t="s">
        <v>160</v>
      </c>
      <c r="E885">
        <v>41</v>
      </c>
      <c r="F885">
        <v>745</v>
      </c>
      <c r="G885" t="s">
        <v>176</v>
      </c>
      <c r="H885">
        <v>104924.8661</v>
      </c>
      <c r="I885">
        <v>104924.8661</v>
      </c>
      <c r="J885" t="s">
        <v>148</v>
      </c>
      <c r="K885" t="s">
        <v>148</v>
      </c>
      <c r="L885">
        <v>0.6</v>
      </c>
      <c r="M885" t="s">
        <v>149</v>
      </c>
      <c r="N885">
        <v>3</v>
      </c>
      <c r="O885">
        <v>4</v>
      </c>
      <c r="P885">
        <v>3</v>
      </c>
      <c r="Q885">
        <v>1200</v>
      </c>
      <c r="R885">
        <v>9.1541077999999998E-2</v>
      </c>
      <c r="S885" t="s">
        <v>150</v>
      </c>
      <c r="T885" t="b">
        <v>0</v>
      </c>
      <c r="U885" t="s">
        <v>1019</v>
      </c>
    </row>
    <row r="886" spans="1:21">
      <c r="A886" t="s">
        <v>1068</v>
      </c>
      <c r="B886" s="113">
        <v>44981</v>
      </c>
      <c r="C886" t="s">
        <v>162</v>
      </c>
      <c r="D886" t="s">
        <v>163</v>
      </c>
      <c r="E886">
        <v>23</v>
      </c>
      <c r="F886">
        <v>806</v>
      </c>
      <c r="G886" t="s">
        <v>169</v>
      </c>
      <c r="H886">
        <v>31150.75921</v>
      </c>
      <c r="I886">
        <v>31150.75921</v>
      </c>
      <c r="J886" t="s">
        <v>148</v>
      </c>
      <c r="K886" t="s">
        <v>148</v>
      </c>
      <c r="L886">
        <v>0.3</v>
      </c>
      <c r="M886" t="s">
        <v>149</v>
      </c>
      <c r="N886">
        <v>3</v>
      </c>
      <c r="O886">
        <v>0.2</v>
      </c>
      <c r="P886">
        <v>2</v>
      </c>
      <c r="Q886">
        <v>950</v>
      </c>
      <c r="R886">
        <v>6.8277427000000002E-2</v>
      </c>
      <c r="S886" t="s">
        <v>150</v>
      </c>
      <c r="T886" t="b">
        <v>0</v>
      </c>
      <c r="U886" t="s">
        <v>1019</v>
      </c>
    </row>
    <row r="887" spans="1:21">
      <c r="A887" t="s">
        <v>1069</v>
      </c>
      <c r="B887" s="113">
        <v>44982</v>
      </c>
      <c r="C887" t="s">
        <v>162</v>
      </c>
      <c r="D887" t="s">
        <v>179</v>
      </c>
      <c r="E887">
        <v>49</v>
      </c>
      <c r="F887">
        <v>573</v>
      </c>
      <c r="G887" t="s">
        <v>147</v>
      </c>
      <c r="H887">
        <v>54639.326220000003</v>
      </c>
      <c r="I887">
        <v>54639.326220000003</v>
      </c>
      <c r="J887" t="s">
        <v>148</v>
      </c>
      <c r="K887" t="s">
        <v>148</v>
      </c>
      <c r="L887">
        <v>3.6</v>
      </c>
      <c r="M887" t="s">
        <v>149</v>
      </c>
      <c r="N887">
        <v>2</v>
      </c>
      <c r="O887">
        <v>6.5</v>
      </c>
      <c r="P887">
        <v>1</v>
      </c>
      <c r="Q887">
        <v>1000</v>
      </c>
      <c r="R887">
        <v>0.22635175699999999</v>
      </c>
      <c r="S887" t="s">
        <v>150</v>
      </c>
      <c r="T887" t="b">
        <v>0</v>
      </c>
      <c r="U887" t="s">
        <v>1019</v>
      </c>
    </row>
    <row r="888" spans="1:21">
      <c r="A888" t="s">
        <v>1070</v>
      </c>
      <c r="B888" s="113">
        <v>44983</v>
      </c>
      <c r="C888" t="s">
        <v>145</v>
      </c>
      <c r="D888" t="s">
        <v>213</v>
      </c>
      <c r="E888">
        <v>53</v>
      </c>
      <c r="F888">
        <v>683</v>
      </c>
      <c r="G888" t="s">
        <v>147</v>
      </c>
      <c r="H888">
        <v>36465.651769999997</v>
      </c>
      <c r="I888">
        <v>36465.651769999997</v>
      </c>
      <c r="J888" t="s">
        <v>183</v>
      </c>
      <c r="K888" t="s">
        <v>183</v>
      </c>
      <c r="L888">
        <v>4</v>
      </c>
      <c r="M888" t="s">
        <v>149</v>
      </c>
      <c r="N888">
        <v>0</v>
      </c>
      <c r="O888">
        <v>1.3</v>
      </c>
      <c r="P888">
        <v>2</v>
      </c>
      <c r="Q888">
        <v>1500</v>
      </c>
      <c r="R888">
        <v>0.37864383200000001</v>
      </c>
      <c r="S888" t="s">
        <v>150</v>
      </c>
      <c r="T888" t="b">
        <v>1</v>
      </c>
      <c r="U888" t="s">
        <v>152</v>
      </c>
    </row>
    <row r="889" spans="1:21">
      <c r="A889" t="s">
        <v>1071</v>
      </c>
      <c r="B889" s="113">
        <v>44983</v>
      </c>
      <c r="C889" t="s">
        <v>159</v>
      </c>
      <c r="D889" t="s">
        <v>160</v>
      </c>
      <c r="E889">
        <v>32</v>
      </c>
      <c r="F889">
        <v>582</v>
      </c>
      <c r="G889" t="s">
        <v>176</v>
      </c>
      <c r="H889">
        <v>58435.199549999998</v>
      </c>
      <c r="J889" t="s">
        <v>156</v>
      </c>
      <c r="K889" t="s">
        <v>156</v>
      </c>
      <c r="L889">
        <v>5.3</v>
      </c>
      <c r="M889" t="s">
        <v>149</v>
      </c>
      <c r="N889">
        <v>2</v>
      </c>
      <c r="O889">
        <v>8</v>
      </c>
      <c r="P889">
        <v>1</v>
      </c>
      <c r="Q889">
        <v>800</v>
      </c>
      <c r="R889">
        <v>0.52126328700000002</v>
      </c>
      <c r="S889" t="s">
        <v>150</v>
      </c>
      <c r="T889" t="b">
        <v>1</v>
      </c>
      <c r="U889" t="s">
        <v>152</v>
      </c>
    </row>
    <row r="890" spans="1:21">
      <c r="A890" t="s">
        <v>1072</v>
      </c>
      <c r="B890" s="113">
        <v>44985</v>
      </c>
      <c r="C890" t="s">
        <v>159</v>
      </c>
      <c r="D890" t="s">
        <v>197</v>
      </c>
      <c r="E890">
        <v>32</v>
      </c>
      <c r="F890">
        <v>820</v>
      </c>
      <c r="G890" t="s">
        <v>176</v>
      </c>
      <c r="H890">
        <v>94652.532250000004</v>
      </c>
      <c r="I890">
        <v>94652.532250000004</v>
      </c>
      <c r="J890" t="s">
        <v>148</v>
      </c>
      <c r="K890" t="s">
        <v>148</v>
      </c>
      <c r="L890">
        <v>2.1</v>
      </c>
      <c r="M890" t="s">
        <v>149</v>
      </c>
      <c r="N890">
        <v>3</v>
      </c>
      <c r="O890">
        <v>5.6</v>
      </c>
      <c r="P890">
        <v>2</v>
      </c>
      <c r="Q890">
        <v>950</v>
      </c>
      <c r="R890">
        <v>0.65056684499999995</v>
      </c>
      <c r="S890" t="s">
        <v>150</v>
      </c>
      <c r="T890" t="b">
        <v>0</v>
      </c>
      <c r="U890" t="s">
        <v>1019</v>
      </c>
    </row>
    <row r="891" spans="1:21">
      <c r="A891" t="s">
        <v>1073</v>
      </c>
      <c r="B891" s="113">
        <v>44987</v>
      </c>
      <c r="C891" t="s">
        <v>162</v>
      </c>
      <c r="D891" t="s">
        <v>190</v>
      </c>
      <c r="E891">
        <v>27</v>
      </c>
      <c r="F891">
        <v>486</v>
      </c>
      <c r="G891" t="s">
        <v>176</v>
      </c>
      <c r="H891">
        <v>64012.066409999999</v>
      </c>
      <c r="I891">
        <v>64012.066409999999</v>
      </c>
      <c r="J891" t="s">
        <v>148</v>
      </c>
      <c r="K891" t="s">
        <v>148</v>
      </c>
      <c r="L891">
        <v>7</v>
      </c>
      <c r="M891" t="s">
        <v>149</v>
      </c>
      <c r="N891">
        <v>1</v>
      </c>
      <c r="O891">
        <v>6.1</v>
      </c>
      <c r="P891">
        <v>4</v>
      </c>
      <c r="Q891">
        <v>1350</v>
      </c>
      <c r="R891">
        <v>0.76325139200000003</v>
      </c>
      <c r="S891" t="s">
        <v>150</v>
      </c>
      <c r="T891" t="b">
        <v>1</v>
      </c>
      <c r="U891" t="s">
        <v>152</v>
      </c>
    </row>
    <row r="892" spans="1:21">
      <c r="A892" t="s">
        <v>1074</v>
      </c>
      <c r="B892" s="113">
        <v>44992</v>
      </c>
      <c r="C892" t="s">
        <v>145</v>
      </c>
      <c r="D892" t="s">
        <v>146</v>
      </c>
      <c r="E892">
        <v>38</v>
      </c>
      <c r="F892">
        <v>762</v>
      </c>
      <c r="G892" t="s">
        <v>155</v>
      </c>
      <c r="H892">
        <v>4008426</v>
      </c>
      <c r="I892">
        <v>4008426</v>
      </c>
      <c r="J892" t="s">
        <v>249</v>
      </c>
      <c r="K892" t="s">
        <v>249</v>
      </c>
      <c r="L892">
        <v>0</v>
      </c>
      <c r="M892" t="s">
        <v>149</v>
      </c>
      <c r="N892">
        <v>1</v>
      </c>
      <c r="O892">
        <v>0.9</v>
      </c>
      <c r="P892">
        <v>4</v>
      </c>
      <c r="Q892">
        <v>0</v>
      </c>
      <c r="R892">
        <v>0.85643835000000001</v>
      </c>
      <c r="S892" t="s">
        <v>198</v>
      </c>
      <c r="T892" t="b">
        <v>0</v>
      </c>
      <c r="U892" t="s">
        <v>199</v>
      </c>
    </row>
    <row r="893" spans="1:21">
      <c r="A893" t="s">
        <v>1075</v>
      </c>
      <c r="B893" s="113">
        <v>44995</v>
      </c>
      <c r="C893" t="s">
        <v>145</v>
      </c>
      <c r="D893" t="s">
        <v>172</v>
      </c>
      <c r="E893">
        <v>21</v>
      </c>
      <c r="F893">
        <v>752</v>
      </c>
      <c r="G893" t="s">
        <v>176</v>
      </c>
      <c r="H893">
        <v>31493.601170000002</v>
      </c>
      <c r="I893">
        <v>31493.601170000002</v>
      </c>
      <c r="J893" t="s">
        <v>148</v>
      </c>
      <c r="K893" t="s">
        <v>148</v>
      </c>
      <c r="L893">
        <v>7.2</v>
      </c>
      <c r="M893" t="s">
        <v>151</v>
      </c>
      <c r="N893">
        <v>6</v>
      </c>
      <c r="O893">
        <v>2.1</v>
      </c>
      <c r="P893">
        <v>2</v>
      </c>
      <c r="Q893">
        <v>800</v>
      </c>
      <c r="R893">
        <v>0.92774722099999996</v>
      </c>
      <c r="S893" t="s">
        <v>150</v>
      </c>
      <c r="T893" t="b">
        <v>1</v>
      </c>
      <c r="U893" t="s">
        <v>152</v>
      </c>
    </row>
    <row r="894" spans="1:21">
      <c r="A894" t="s">
        <v>1076</v>
      </c>
      <c r="B894" s="113">
        <v>44997</v>
      </c>
      <c r="C894" t="s">
        <v>162</v>
      </c>
      <c r="D894" t="s">
        <v>163</v>
      </c>
      <c r="E894">
        <v>42</v>
      </c>
      <c r="F894">
        <v>780</v>
      </c>
      <c r="G894" t="s">
        <v>176</v>
      </c>
      <c r="H894">
        <v>18078.619910000001</v>
      </c>
      <c r="I894">
        <v>18078.619910000001</v>
      </c>
      <c r="J894" t="s">
        <v>148</v>
      </c>
      <c r="K894" t="s">
        <v>148</v>
      </c>
      <c r="L894">
        <v>1.5</v>
      </c>
      <c r="M894" t="s">
        <v>149</v>
      </c>
      <c r="N894">
        <v>2</v>
      </c>
      <c r="O894">
        <v>2.4</v>
      </c>
      <c r="P894">
        <v>2</v>
      </c>
      <c r="Q894">
        <v>1500</v>
      </c>
      <c r="R894">
        <v>0.97535638599999996</v>
      </c>
      <c r="S894" t="s">
        <v>198</v>
      </c>
      <c r="U894" t="s">
        <v>199</v>
      </c>
    </row>
    <row r="895" spans="1:21">
      <c r="A895" t="s">
        <v>1077</v>
      </c>
      <c r="B895" s="113">
        <v>44999</v>
      </c>
      <c r="C895" t="s">
        <v>159</v>
      </c>
      <c r="D895" t="s">
        <v>160</v>
      </c>
      <c r="E895">
        <v>55</v>
      </c>
      <c r="F895">
        <v>810</v>
      </c>
      <c r="G895" t="s">
        <v>155</v>
      </c>
      <c r="H895">
        <v>38822.86823</v>
      </c>
      <c r="I895">
        <v>38822.86823</v>
      </c>
      <c r="J895" t="s">
        <v>148</v>
      </c>
      <c r="K895" t="s">
        <v>148</v>
      </c>
      <c r="L895">
        <v>0.3</v>
      </c>
      <c r="M895" t="s">
        <v>149</v>
      </c>
      <c r="N895">
        <v>4</v>
      </c>
      <c r="O895">
        <v>7.5</v>
      </c>
      <c r="P895">
        <v>2</v>
      </c>
      <c r="Q895">
        <v>1900</v>
      </c>
      <c r="R895">
        <v>0.99804965000000001</v>
      </c>
      <c r="S895" t="s">
        <v>150</v>
      </c>
      <c r="T895" t="b">
        <v>0</v>
      </c>
      <c r="U895" t="s">
        <v>1019</v>
      </c>
    </row>
    <row r="896" spans="1:21">
      <c r="A896" t="s">
        <v>1078</v>
      </c>
      <c r="B896" s="113">
        <v>45001</v>
      </c>
      <c r="C896" t="s">
        <v>162</v>
      </c>
      <c r="D896" t="s">
        <v>193</v>
      </c>
      <c r="E896">
        <v>48</v>
      </c>
      <c r="F896">
        <v>826</v>
      </c>
      <c r="G896" t="s">
        <v>155</v>
      </c>
      <c r="H896">
        <v>129146.5125</v>
      </c>
      <c r="I896">
        <v>129146.5125</v>
      </c>
      <c r="J896" t="s">
        <v>148</v>
      </c>
      <c r="K896" t="s">
        <v>166</v>
      </c>
      <c r="L896">
        <v>4.5</v>
      </c>
      <c r="M896" t="s">
        <v>151</v>
      </c>
      <c r="N896">
        <v>2</v>
      </c>
      <c r="O896">
        <v>13.4</v>
      </c>
      <c r="P896">
        <v>3</v>
      </c>
      <c r="Q896">
        <v>1450</v>
      </c>
      <c r="R896">
        <v>0.99524730299999997</v>
      </c>
      <c r="S896" t="s">
        <v>150</v>
      </c>
      <c r="T896" t="b">
        <v>0</v>
      </c>
      <c r="U896" t="s">
        <v>1019</v>
      </c>
    </row>
    <row r="897" spans="1:21">
      <c r="A897" t="s">
        <v>1079</v>
      </c>
      <c r="B897" s="113">
        <v>45003</v>
      </c>
      <c r="C897" t="s">
        <v>159</v>
      </c>
      <c r="D897" t="s">
        <v>160</v>
      </c>
      <c r="E897">
        <v>32</v>
      </c>
      <c r="F897">
        <v>721</v>
      </c>
      <c r="G897" t="s">
        <v>169</v>
      </c>
      <c r="H897">
        <v>37124.887990000003</v>
      </c>
      <c r="J897" t="s">
        <v>170</v>
      </c>
      <c r="K897" t="s">
        <v>170</v>
      </c>
      <c r="L897">
        <v>7.1</v>
      </c>
      <c r="M897" t="s">
        <v>149</v>
      </c>
      <c r="N897">
        <v>3</v>
      </c>
      <c r="O897">
        <v>3</v>
      </c>
      <c r="P897">
        <v>2</v>
      </c>
      <c r="Q897">
        <v>1050</v>
      </c>
      <c r="R897">
        <v>0.96702093300000003</v>
      </c>
      <c r="S897" t="s">
        <v>150</v>
      </c>
      <c r="T897" t="b">
        <v>0</v>
      </c>
      <c r="U897" t="s">
        <v>1019</v>
      </c>
    </row>
    <row r="898" spans="1:21">
      <c r="A898" t="s">
        <v>1080</v>
      </c>
      <c r="B898" s="113">
        <v>45006</v>
      </c>
      <c r="C898" t="s">
        <v>162</v>
      </c>
      <c r="D898" t="s">
        <v>193</v>
      </c>
      <c r="E898">
        <v>49</v>
      </c>
      <c r="F898">
        <v>740</v>
      </c>
      <c r="G898" t="s">
        <v>176</v>
      </c>
      <c r="H898">
        <v>45137.662380000002</v>
      </c>
      <c r="J898" t="s">
        <v>183</v>
      </c>
      <c r="K898" t="s">
        <v>183</v>
      </c>
      <c r="L898">
        <v>10</v>
      </c>
      <c r="M898" t="s">
        <v>149</v>
      </c>
      <c r="N898">
        <v>1</v>
      </c>
      <c r="O898">
        <v>0.3</v>
      </c>
      <c r="P898">
        <v>2</v>
      </c>
      <c r="Q898">
        <v>1200</v>
      </c>
      <c r="R898">
        <v>0.91409159399999995</v>
      </c>
      <c r="S898" t="s">
        <v>150</v>
      </c>
      <c r="T898" t="b">
        <v>1</v>
      </c>
      <c r="U898" t="s">
        <v>152</v>
      </c>
    </row>
    <row r="899" spans="1:21">
      <c r="A899" t="s">
        <v>1081</v>
      </c>
      <c r="B899" s="113">
        <v>45011</v>
      </c>
      <c r="C899" t="s">
        <v>159</v>
      </c>
      <c r="D899" t="s">
        <v>209</v>
      </c>
      <c r="E899">
        <v>57</v>
      </c>
      <c r="F899">
        <v>817</v>
      </c>
      <c r="G899" t="s">
        <v>147</v>
      </c>
      <c r="H899">
        <v>29124.297750000002</v>
      </c>
      <c r="I899">
        <v>29124.297750000002</v>
      </c>
      <c r="J899" t="s">
        <v>156</v>
      </c>
      <c r="K899" t="s">
        <v>156</v>
      </c>
      <c r="L899">
        <v>7.5</v>
      </c>
      <c r="M899" t="s">
        <v>149</v>
      </c>
      <c r="N899">
        <v>4</v>
      </c>
      <c r="O899">
        <v>0.5</v>
      </c>
      <c r="P899">
        <v>2</v>
      </c>
      <c r="Q899">
        <v>800</v>
      </c>
      <c r="R899">
        <v>0.83781138899999996</v>
      </c>
      <c r="S899" t="s">
        <v>150</v>
      </c>
      <c r="T899" t="b">
        <v>0</v>
      </c>
      <c r="U899" t="s">
        <v>1019</v>
      </c>
    </row>
    <row r="900" spans="1:21">
      <c r="A900" t="s">
        <v>1082</v>
      </c>
      <c r="B900" s="113">
        <v>45016</v>
      </c>
      <c r="C900" t="s">
        <v>162</v>
      </c>
      <c r="D900" t="s">
        <v>195</v>
      </c>
      <c r="E900">
        <v>45</v>
      </c>
      <c r="F900">
        <v>496</v>
      </c>
      <c r="G900" t="s">
        <v>147</v>
      </c>
      <c r="H900">
        <v>102403.84450000001</v>
      </c>
      <c r="J900" t="s">
        <v>148</v>
      </c>
      <c r="K900" t="s">
        <v>148</v>
      </c>
      <c r="L900">
        <v>3.4</v>
      </c>
      <c r="M900" t="s">
        <v>149</v>
      </c>
      <c r="N900">
        <v>3</v>
      </c>
      <c r="O900">
        <v>1.7</v>
      </c>
      <c r="P900">
        <v>4</v>
      </c>
      <c r="Q900">
        <v>2150</v>
      </c>
      <c r="R900">
        <v>0.74012893000000002</v>
      </c>
      <c r="S900" t="s">
        <v>150</v>
      </c>
      <c r="T900" t="b">
        <v>0</v>
      </c>
      <c r="U900" t="s">
        <v>1019</v>
      </c>
    </row>
    <row r="901" spans="1:21">
      <c r="A901" t="s">
        <v>1083</v>
      </c>
      <c r="B901" s="113">
        <v>45018</v>
      </c>
      <c r="C901" t="s">
        <v>159</v>
      </c>
      <c r="D901" t="s">
        <v>165</v>
      </c>
      <c r="E901">
        <v>36</v>
      </c>
      <c r="F901">
        <v>610</v>
      </c>
      <c r="G901" t="s">
        <v>147</v>
      </c>
      <c r="H901">
        <v>31513.658960000001</v>
      </c>
      <c r="J901" t="s">
        <v>148</v>
      </c>
      <c r="K901" t="s">
        <v>148</v>
      </c>
      <c r="L901">
        <v>0.4</v>
      </c>
      <c r="M901" t="s">
        <v>149</v>
      </c>
      <c r="N901">
        <v>4</v>
      </c>
      <c r="O901">
        <v>1.6</v>
      </c>
      <c r="P901">
        <v>3</v>
      </c>
      <c r="Q901">
        <v>1200</v>
      </c>
      <c r="R901">
        <v>0.62353955599999999</v>
      </c>
      <c r="S901" t="s">
        <v>150</v>
      </c>
      <c r="T901" t="b">
        <v>1</v>
      </c>
      <c r="U901" t="s">
        <v>152</v>
      </c>
    </row>
    <row r="902" spans="1:21">
      <c r="A902" t="s">
        <v>1084</v>
      </c>
      <c r="B902" s="113">
        <v>45018</v>
      </c>
      <c r="C902" t="s">
        <v>162</v>
      </c>
      <c r="D902" t="s">
        <v>193</v>
      </c>
      <c r="E902">
        <v>34</v>
      </c>
      <c r="F902">
        <v>682</v>
      </c>
      <c r="G902" t="s">
        <v>176</v>
      </c>
      <c r="H902">
        <v>20978.177360000001</v>
      </c>
      <c r="I902">
        <v>20978.177360000001</v>
      </c>
      <c r="J902" t="s">
        <v>249</v>
      </c>
      <c r="K902" t="s">
        <v>249</v>
      </c>
      <c r="L902">
        <v>1.8</v>
      </c>
      <c r="M902" t="s">
        <v>151</v>
      </c>
      <c r="N902">
        <v>3</v>
      </c>
      <c r="O902">
        <v>1.5</v>
      </c>
      <c r="P902">
        <v>3</v>
      </c>
      <c r="Q902">
        <v>1600</v>
      </c>
      <c r="R902">
        <v>0.49102159400000001</v>
      </c>
      <c r="S902" t="s">
        <v>198</v>
      </c>
      <c r="U902" t="s">
        <v>199</v>
      </c>
    </row>
    <row r="903" spans="1:21">
      <c r="A903" t="s">
        <v>1085</v>
      </c>
      <c r="B903" s="113">
        <v>45018</v>
      </c>
      <c r="C903" t="s">
        <v>159</v>
      </c>
      <c r="D903" t="s">
        <v>209</v>
      </c>
      <c r="E903">
        <v>54</v>
      </c>
      <c r="F903">
        <v>755</v>
      </c>
      <c r="G903" t="s">
        <v>176</v>
      </c>
      <c r="H903">
        <v>24322.489850000002</v>
      </c>
      <c r="I903">
        <v>24322.489850000002</v>
      </c>
      <c r="J903" t="s">
        <v>183</v>
      </c>
      <c r="K903" t="s">
        <v>183</v>
      </c>
      <c r="L903">
        <v>3.9</v>
      </c>
      <c r="M903" t="s">
        <v>149</v>
      </c>
      <c r="N903">
        <v>4</v>
      </c>
      <c r="O903">
        <v>5.7</v>
      </c>
      <c r="P903">
        <v>3</v>
      </c>
      <c r="Q903">
        <v>950</v>
      </c>
      <c r="R903">
        <v>0.34596027299999998</v>
      </c>
      <c r="S903" t="s">
        <v>150</v>
      </c>
      <c r="T903" t="b">
        <v>0</v>
      </c>
      <c r="U903" t="s">
        <v>1019</v>
      </c>
    </row>
    <row r="904" spans="1:21">
      <c r="A904" t="s">
        <v>1086</v>
      </c>
      <c r="B904" s="113">
        <v>45018</v>
      </c>
      <c r="C904" t="s">
        <v>162</v>
      </c>
      <c r="D904" t="s">
        <v>195</v>
      </c>
      <c r="E904">
        <v>25</v>
      </c>
      <c r="F904">
        <v>577</v>
      </c>
      <c r="G904" t="s">
        <v>169</v>
      </c>
      <c r="H904">
        <v>126707.1639</v>
      </c>
      <c r="J904" t="s">
        <v>148</v>
      </c>
      <c r="K904" t="s">
        <v>148</v>
      </c>
      <c r="L904">
        <v>23.2</v>
      </c>
      <c r="M904" t="s">
        <v>149</v>
      </c>
      <c r="N904">
        <v>0</v>
      </c>
      <c r="O904">
        <v>1</v>
      </c>
      <c r="P904">
        <v>2</v>
      </c>
      <c r="Q904">
        <v>1700</v>
      </c>
      <c r="R904">
        <v>0.19206124599999999</v>
      </c>
      <c r="S904" t="s">
        <v>150</v>
      </c>
      <c r="T904" t="b">
        <v>1</v>
      </c>
      <c r="U904" t="s">
        <v>152</v>
      </c>
    </row>
    <row r="905" spans="1:21">
      <c r="A905" t="s">
        <v>1087</v>
      </c>
      <c r="B905" s="113">
        <v>45018</v>
      </c>
      <c r="C905" t="s">
        <v>145</v>
      </c>
      <c r="D905" t="s">
        <v>146</v>
      </c>
      <c r="E905">
        <v>57</v>
      </c>
      <c r="F905">
        <v>775</v>
      </c>
      <c r="G905" t="s">
        <v>176</v>
      </c>
      <c r="H905">
        <v>79346.405119999996</v>
      </c>
      <c r="I905">
        <v>79346.405119999996</v>
      </c>
      <c r="J905" t="s">
        <v>156</v>
      </c>
      <c r="K905" t="s">
        <v>156</v>
      </c>
      <c r="L905">
        <v>4.7</v>
      </c>
      <c r="M905" t="s">
        <v>149</v>
      </c>
      <c r="N905">
        <v>6</v>
      </c>
      <c r="O905">
        <v>0.7</v>
      </c>
      <c r="P905">
        <v>4</v>
      </c>
      <c r="Q905">
        <v>1100</v>
      </c>
      <c r="R905">
        <v>3.3255932000000002E-2</v>
      </c>
      <c r="S905" t="s">
        <v>150</v>
      </c>
      <c r="T905" t="b">
        <v>0</v>
      </c>
      <c r="U905" t="s">
        <v>1019</v>
      </c>
    </row>
    <row r="906" spans="1:21">
      <c r="A906" t="s">
        <v>1088</v>
      </c>
      <c r="B906" s="113">
        <v>45020</v>
      </c>
      <c r="C906" t="s">
        <v>159</v>
      </c>
      <c r="D906" t="s">
        <v>165</v>
      </c>
      <c r="E906">
        <v>45</v>
      </c>
      <c r="F906">
        <v>660</v>
      </c>
      <c r="G906" t="s">
        <v>155</v>
      </c>
      <c r="H906">
        <v>23593.086429999999</v>
      </c>
      <c r="I906">
        <v>23593.086429999999</v>
      </c>
      <c r="J906" t="s">
        <v>148</v>
      </c>
      <c r="K906" t="s">
        <v>148</v>
      </c>
      <c r="L906">
        <v>15.3</v>
      </c>
      <c r="M906" t="s">
        <v>149</v>
      </c>
      <c r="N906">
        <v>4</v>
      </c>
      <c r="O906">
        <v>2</v>
      </c>
      <c r="P906">
        <v>3</v>
      </c>
      <c r="Q906">
        <v>800</v>
      </c>
      <c r="R906">
        <v>0.126398919</v>
      </c>
      <c r="S906" t="s">
        <v>150</v>
      </c>
      <c r="T906" t="b">
        <v>0</v>
      </c>
      <c r="U906" t="s">
        <v>1019</v>
      </c>
    </row>
    <row r="907" spans="1:21">
      <c r="A907" t="s">
        <v>1089</v>
      </c>
      <c r="B907" s="113">
        <v>45022</v>
      </c>
      <c r="C907" t="s">
        <v>162</v>
      </c>
      <c r="D907" t="s">
        <v>190</v>
      </c>
      <c r="E907">
        <v>25</v>
      </c>
      <c r="F907">
        <v>811</v>
      </c>
      <c r="G907" t="s">
        <v>155</v>
      </c>
      <c r="H907">
        <v>35095.502350000002</v>
      </c>
      <c r="J907" t="s">
        <v>156</v>
      </c>
      <c r="K907" t="s">
        <v>156</v>
      </c>
      <c r="L907">
        <v>6.2</v>
      </c>
      <c r="M907" t="s">
        <v>151</v>
      </c>
      <c r="N907">
        <v>4</v>
      </c>
      <c r="O907">
        <v>8.4</v>
      </c>
      <c r="P907">
        <v>2</v>
      </c>
      <c r="Q907">
        <v>1100</v>
      </c>
      <c r="R907">
        <v>0.28282485499999999</v>
      </c>
      <c r="S907" t="s">
        <v>150</v>
      </c>
      <c r="T907" t="b">
        <v>1</v>
      </c>
      <c r="U907" t="s">
        <v>152</v>
      </c>
    </row>
    <row r="908" spans="1:21">
      <c r="A908" t="s">
        <v>1090</v>
      </c>
      <c r="B908" s="113">
        <v>45022</v>
      </c>
      <c r="C908" t="s">
        <v>159</v>
      </c>
      <c r="D908" t="s">
        <v>160</v>
      </c>
      <c r="E908">
        <v>48</v>
      </c>
      <c r="F908">
        <v>782</v>
      </c>
      <c r="G908" t="s">
        <v>147</v>
      </c>
      <c r="H908">
        <v>29065.464329999999</v>
      </c>
      <c r="J908" t="s">
        <v>148</v>
      </c>
      <c r="K908" t="s">
        <v>148</v>
      </c>
      <c r="L908">
        <v>9.1</v>
      </c>
      <c r="M908" t="s">
        <v>149</v>
      </c>
      <c r="N908">
        <v>2</v>
      </c>
      <c r="O908">
        <v>5.2</v>
      </c>
      <c r="P908">
        <v>2</v>
      </c>
      <c r="Q908">
        <v>900</v>
      </c>
      <c r="R908">
        <v>0.43202590800000001</v>
      </c>
      <c r="S908" t="s">
        <v>150</v>
      </c>
      <c r="T908" t="b">
        <v>1</v>
      </c>
      <c r="U908" t="s">
        <v>152</v>
      </c>
    </row>
    <row r="909" spans="1:21">
      <c r="A909" t="s">
        <v>1091</v>
      </c>
      <c r="B909" s="113">
        <v>45022</v>
      </c>
      <c r="C909" t="s">
        <v>159</v>
      </c>
      <c r="D909" t="s">
        <v>209</v>
      </c>
      <c r="E909">
        <v>37</v>
      </c>
      <c r="F909">
        <v>733</v>
      </c>
      <c r="G909" t="s">
        <v>147</v>
      </c>
      <c r="H909">
        <v>20230.209409999999</v>
      </c>
      <c r="I909">
        <v>20230.209409999999</v>
      </c>
      <c r="J909" t="s">
        <v>148</v>
      </c>
      <c r="K909" t="s">
        <v>148</v>
      </c>
      <c r="L909">
        <v>4.2</v>
      </c>
      <c r="M909" t="s">
        <v>149</v>
      </c>
      <c r="N909">
        <v>4</v>
      </c>
      <c r="O909">
        <v>1.1000000000000001</v>
      </c>
      <c r="P909">
        <v>2</v>
      </c>
      <c r="Q909">
        <v>1500</v>
      </c>
      <c r="R909">
        <v>0.57019067199999995</v>
      </c>
      <c r="S909" t="s">
        <v>198</v>
      </c>
      <c r="U909" t="s">
        <v>199</v>
      </c>
    </row>
    <row r="910" spans="1:21">
      <c r="A910" t="s">
        <v>1092</v>
      </c>
      <c r="B910" s="113">
        <v>45023</v>
      </c>
      <c r="C910" t="s">
        <v>162</v>
      </c>
      <c r="D910" t="s">
        <v>190</v>
      </c>
      <c r="E910">
        <v>42</v>
      </c>
      <c r="F910">
        <v>674</v>
      </c>
      <c r="G910" t="s">
        <v>147</v>
      </c>
      <c r="H910">
        <v>53483.150520000003</v>
      </c>
      <c r="J910" t="s">
        <v>148</v>
      </c>
      <c r="K910" t="s">
        <v>148</v>
      </c>
      <c r="L910">
        <v>1.3</v>
      </c>
      <c r="M910" t="s">
        <v>149</v>
      </c>
      <c r="N910">
        <v>2</v>
      </c>
      <c r="O910">
        <v>7.6</v>
      </c>
      <c r="P910">
        <v>3</v>
      </c>
      <c r="Q910">
        <v>1250</v>
      </c>
      <c r="R910">
        <v>0.69378966799999997</v>
      </c>
      <c r="S910" t="s">
        <v>150</v>
      </c>
      <c r="T910" t="b">
        <v>0</v>
      </c>
      <c r="U910" t="s">
        <v>1019</v>
      </c>
    </row>
    <row r="911" spans="1:21">
      <c r="A911" t="s">
        <v>1093</v>
      </c>
      <c r="B911" s="113">
        <v>45024</v>
      </c>
      <c r="C911" t="s">
        <v>159</v>
      </c>
      <c r="D911" t="s">
        <v>168</v>
      </c>
      <c r="E911">
        <v>31</v>
      </c>
      <c r="F911">
        <v>810</v>
      </c>
      <c r="G911" t="s">
        <v>176</v>
      </c>
      <c r="H911">
        <v>114628.0668</v>
      </c>
      <c r="J911" t="s">
        <v>148</v>
      </c>
      <c r="K911" t="s">
        <v>148</v>
      </c>
      <c r="L911">
        <v>8.4</v>
      </c>
      <c r="M911" t="s">
        <v>149</v>
      </c>
      <c r="N911">
        <v>3</v>
      </c>
      <c r="O911">
        <v>1.7</v>
      </c>
      <c r="P911">
        <v>0</v>
      </c>
      <c r="Q911">
        <v>1000</v>
      </c>
      <c r="R911">
        <v>0.79966550599999997</v>
      </c>
      <c r="S911" t="s">
        <v>150</v>
      </c>
      <c r="T911" t="b">
        <v>0</v>
      </c>
      <c r="U911" t="s">
        <v>1019</v>
      </c>
    </row>
    <row r="912" spans="1:21">
      <c r="A912" t="s">
        <v>1094</v>
      </c>
      <c r="B912" s="113">
        <v>45024</v>
      </c>
      <c r="C912" t="s">
        <v>159</v>
      </c>
      <c r="D912" t="s">
        <v>209</v>
      </c>
      <c r="E912">
        <v>37</v>
      </c>
      <c r="F912">
        <v>694</v>
      </c>
      <c r="G912" t="s">
        <v>147</v>
      </c>
      <c r="H912">
        <v>59769.836459999999</v>
      </c>
      <c r="I912">
        <v>59769.836459999999</v>
      </c>
      <c r="J912" t="s">
        <v>148</v>
      </c>
      <c r="K912" t="s">
        <v>148</v>
      </c>
      <c r="L912">
        <v>0.7</v>
      </c>
      <c r="M912" t="s">
        <v>149</v>
      </c>
      <c r="N912">
        <v>1</v>
      </c>
      <c r="O912">
        <v>3.5</v>
      </c>
      <c r="P912">
        <v>3</v>
      </c>
      <c r="Q912">
        <v>1450</v>
      </c>
      <c r="R912">
        <v>0.88511354200000003</v>
      </c>
      <c r="S912" t="s">
        <v>150</v>
      </c>
      <c r="T912" t="b">
        <v>1</v>
      </c>
      <c r="U912" t="s">
        <v>152</v>
      </c>
    </row>
    <row r="913" spans="1:21">
      <c r="A913" t="s">
        <v>1095</v>
      </c>
      <c r="B913" s="113">
        <v>45026</v>
      </c>
      <c r="C913" t="s">
        <v>162</v>
      </c>
      <c r="D913" t="s">
        <v>163</v>
      </c>
      <c r="E913">
        <v>42</v>
      </c>
      <c r="F913">
        <v>729</v>
      </c>
      <c r="G913" t="s">
        <v>169</v>
      </c>
      <c r="H913">
        <v>65760.771309999996</v>
      </c>
      <c r="I913">
        <v>65760.771309999996</v>
      </c>
      <c r="J913" t="s">
        <v>249</v>
      </c>
      <c r="K913" t="s">
        <v>249</v>
      </c>
      <c r="L913">
        <v>0.1</v>
      </c>
      <c r="M913" t="s">
        <v>149</v>
      </c>
      <c r="N913">
        <v>0</v>
      </c>
      <c r="O913">
        <v>10.4</v>
      </c>
      <c r="P913">
        <v>4</v>
      </c>
      <c r="Q913">
        <v>1150</v>
      </c>
      <c r="R913">
        <v>0.94795096999999995</v>
      </c>
      <c r="S913" t="s">
        <v>150</v>
      </c>
      <c r="T913" t="b">
        <v>0</v>
      </c>
      <c r="U913" t="s">
        <v>1019</v>
      </c>
    </row>
    <row r="914" spans="1:21">
      <c r="A914" t="s">
        <v>1096</v>
      </c>
      <c r="B914" s="113">
        <v>45026</v>
      </c>
      <c r="C914" t="s">
        <v>159</v>
      </c>
      <c r="D914" t="s">
        <v>197</v>
      </c>
      <c r="E914">
        <v>33</v>
      </c>
      <c r="F914">
        <v>675</v>
      </c>
      <c r="G914" t="s">
        <v>155</v>
      </c>
      <c r="H914">
        <v>66515.502919999999</v>
      </c>
      <c r="I914">
        <v>66515.502919999999</v>
      </c>
      <c r="J914" t="s">
        <v>148</v>
      </c>
      <c r="K914" t="s">
        <v>148</v>
      </c>
      <c r="L914">
        <v>1.2</v>
      </c>
      <c r="M914" t="s">
        <v>149</v>
      </c>
      <c r="N914">
        <v>2</v>
      </c>
      <c r="O914">
        <v>17.8</v>
      </c>
      <c r="P914">
        <v>2</v>
      </c>
      <c r="Q914">
        <v>1500</v>
      </c>
      <c r="R914">
        <v>0.98657257899999995</v>
      </c>
      <c r="S914" t="s">
        <v>150</v>
      </c>
      <c r="T914" t="b">
        <v>1</v>
      </c>
      <c r="U914" t="s">
        <v>152</v>
      </c>
    </row>
    <row r="915" spans="1:21">
      <c r="A915" t="s">
        <v>1097</v>
      </c>
      <c r="B915" s="113">
        <v>45027</v>
      </c>
      <c r="C915" t="s">
        <v>159</v>
      </c>
      <c r="D915" t="s">
        <v>209</v>
      </c>
      <c r="E915">
        <v>50</v>
      </c>
      <c r="F915">
        <v>641</v>
      </c>
      <c r="G915" t="s">
        <v>147</v>
      </c>
      <c r="H915">
        <v>25003.29808</v>
      </c>
      <c r="I915">
        <v>25003.29808</v>
      </c>
      <c r="J915" t="s">
        <v>221</v>
      </c>
      <c r="K915" t="s">
        <v>221</v>
      </c>
      <c r="L915">
        <v>2.9</v>
      </c>
      <c r="M915" t="s">
        <v>149</v>
      </c>
      <c r="N915">
        <v>1</v>
      </c>
      <c r="O915">
        <v>4.5</v>
      </c>
      <c r="P915">
        <v>4</v>
      </c>
      <c r="Q915">
        <v>800</v>
      </c>
      <c r="R915">
        <v>0.99999176499999998</v>
      </c>
      <c r="S915" t="s">
        <v>150</v>
      </c>
      <c r="T915" t="b">
        <v>1</v>
      </c>
      <c r="U915" t="s">
        <v>152</v>
      </c>
    </row>
    <row r="916" spans="1:21">
      <c r="A916" t="s">
        <v>1098</v>
      </c>
      <c r="B916" s="113">
        <v>45028</v>
      </c>
      <c r="C916" t="s">
        <v>159</v>
      </c>
      <c r="D916" t="s">
        <v>160</v>
      </c>
      <c r="E916">
        <v>24</v>
      </c>
      <c r="F916">
        <v>673</v>
      </c>
      <c r="G916" t="s">
        <v>147</v>
      </c>
      <c r="H916">
        <v>35383.328860000001</v>
      </c>
      <c r="I916">
        <v>35383.328860000001</v>
      </c>
      <c r="J916" t="s">
        <v>183</v>
      </c>
      <c r="K916" t="s">
        <v>183</v>
      </c>
      <c r="L916">
        <v>0</v>
      </c>
      <c r="M916" t="s">
        <v>149</v>
      </c>
      <c r="N916">
        <v>1</v>
      </c>
      <c r="O916">
        <v>7.3</v>
      </c>
      <c r="P916">
        <v>3</v>
      </c>
      <c r="Q916">
        <v>950</v>
      </c>
      <c r="R916">
        <v>0.98786572699999997</v>
      </c>
      <c r="S916" t="s">
        <v>198</v>
      </c>
      <c r="U916" t="s">
        <v>199</v>
      </c>
    </row>
    <row r="917" spans="1:21">
      <c r="A917" t="s">
        <v>1099</v>
      </c>
      <c r="B917" s="113">
        <v>45029</v>
      </c>
      <c r="C917" t="s">
        <v>162</v>
      </c>
      <c r="D917" t="s">
        <v>193</v>
      </c>
      <c r="E917">
        <v>50</v>
      </c>
      <c r="F917">
        <v>592</v>
      </c>
      <c r="G917" t="s">
        <v>169</v>
      </c>
      <c r="H917">
        <v>21614.13895</v>
      </c>
      <c r="I917">
        <v>21614.13895</v>
      </c>
      <c r="J917" t="s">
        <v>156</v>
      </c>
      <c r="K917" t="s">
        <v>156</v>
      </c>
      <c r="L917">
        <v>0.2</v>
      </c>
      <c r="M917" t="s">
        <v>149</v>
      </c>
      <c r="N917">
        <v>0</v>
      </c>
      <c r="O917">
        <v>0.5</v>
      </c>
      <c r="P917">
        <v>3</v>
      </c>
      <c r="Q917">
        <v>1150</v>
      </c>
      <c r="R917">
        <v>0.950504232</v>
      </c>
      <c r="S917" t="s">
        <v>198</v>
      </c>
      <c r="U917" t="s">
        <v>199</v>
      </c>
    </row>
    <row r="918" spans="1:21">
      <c r="A918" t="s">
        <v>1100</v>
      </c>
      <c r="B918" s="113">
        <v>45032</v>
      </c>
      <c r="C918" t="s">
        <v>159</v>
      </c>
      <c r="D918" t="s">
        <v>160</v>
      </c>
      <c r="E918">
        <v>45</v>
      </c>
      <c r="F918">
        <v>764</v>
      </c>
      <c r="G918" t="s">
        <v>176</v>
      </c>
      <c r="H918">
        <v>31410.18291</v>
      </c>
      <c r="I918">
        <v>31410.18291</v>
      </c>
      <c r="J918" t="s">
        <v>148</v>
      </c>
      <c r="K918" t="s">
        <v>148</v>
      </c>
      <c r="L918">
        <v>4.0999999999999996</v>
      </c>
      <c r="M918" t="s">
        <v>149</v>
      </c>
      <c r="N918">
        <v>2</v>
      </c>
      <c r="O918">
        <v>6.9</v>
      </c>
      <c r="P918">
        <v>1</v>
      </c>
      <c r="Q918">
        <v>1150</v>
      </c>
      <c r="R918">
        <v>0.88886169400000004</v>
      </c>
      <c r="S918" t="s">
        <v>150</v>
      </c>
      <c r="T918" t="b">
        <v>0</v>
      </c>
      <c r="U918" t="s">
        <v>1019</v>
      </c>
    </row>
    <row r="919" spans="1:21">
      <c r="A919" t="s">
        <v>1101</v>
      </c>
      <c r="B919" s="113">
        <v>45032</v>
      </c>
      <c r="C919" t="s">
        <v>162</v>
      </c>
      <c r="D919" t="s">
        <v>195</v>
      </c>
      <c r="E919">
        <v>31</v>
      </c>
      <c r="F919">
        <v>678</v>
      </c>
      <c r="G919" t="s">
        <v>169</v>
      </c>
      <c r="H919">
        <v>212554.17860000001</v>
      </c>
      <c r="I919">
        <v>212554.17860000001</v>
      </c>
      <c r="J919" t="s">
        <v>148</v>
      </c>
      <c r="K919" t="s">
        <v>148</v>
      </c>
      <c r="L919">
        <v>0.9</v>
      </c>
      <c r="M919" t="s">
        <v>149</v>
      </c>
      <c r="N919">
        <v>1</v>
      </c>
      <c r="O919">
        <v>13.1</v>
      </c>
      <c r="P919">
        <v>1</v>
      </c>
      <c r="Q919">
        <v>1250</v>
      </c>
      <c r="R919">
        <v>0.80451279899999995</v>
      </c>
      <c r="S919" t="s">
        <v>150</v>
      </c>
      <c r="T919" t="b">
        <v>0</v>
      </c>
      <c r="U919" t="s">
        <v>1019</v>
      </c>
    </row>
    <row r="920" spans="1:21">
      <c r="A920" t="s">
        <v>1102</v>
      </c>
      <c r="B920" s="113">
        <v>45034</v>
      </c>
      <c r="C920" t="s">
        <v>159</v>
      </c>
      <c r="D920" t="s">
        <v>165</v>
      </c>
      <c r="E920">
        <v>46</v>
      </c>
      <c r="F920">
        <v>638</v>
      </c>
      <c r="G920" t="s">
        <v>176</v>
      </c>
      <c r="H920">
        <v>61511.924899999998</v>
      </c>
      <c r="J920" t="s">
        <v>148</v>
      </c>
      <c r="K920" t="s">
        <v>148</v>
      </c>
      <c r="L920">
        <v>5.5</v>
      </c>
      <c r="M920" t="s">
        <v>149</v>
      </c>
      <c r="N920">
        <v>2</v>
      </c>
      <c r="O920">
        <v>2.2000000000000002</v>
      </c>
      <c r="P920">
        <v>3</v>
      </c>
      <c r="Q920">
        <v>800</v>
      </c>
      <c r="R920">
        <v>0.69961227599999998</v>
      </c>
      <c r="S920" t="s">
        <v>150</v>
      </c>
      <c r="T920" t="b">
        <v>0</v>
      </c>
      <c r="U920" t="s">
        <v>1019</v>
      </c>
    </row>
    <row r="921" spans="1:21">
      <c r="A921" t="s">
        <v>1103</v>
      </c>
      <c r="B921" s="113">
        <v>45034</v>
      </c>
      <c r="C921" t="s">
        <v>145</v>
      </c>
      <c r="D921" t="s">
        <v>146</v>
      </c>
      <c r="E921">
        <v>45</v>
      </c>
      <c r="F921">
        <v>586</v>
      </c>
      <c r="G921" t="s">
        <v>176</v>
      </c>
      <c r="H921">
        <v>75129.835850000003</v>
      </c>
      <c r="I921">
        <v>75129.835850000003</v>
      </c>
      <c r="J921" t="s">
        <v>170</v>
      </c>
      <c r="K921" t="s">
        <v>170</v>
      </c>
      <c r="L921">
        <v>0.3</v>
      </c>
      <c r="M921" t="s">
        <v>149</v>
      </c>
      <c r="N921">
        <v>1</v>
      </c>
      <c r="O921">
        <v>2.6</v>
      </c>
      <c r="P921">
        <v>3</v>
      </c>
      <c r="Q921">
        <v>1050</v>
      </c>
      <c r="R921">
        <v>0.57683985400000004</v>
      </c>
      <c r="S921" t="s">
        <v>150</v>
      </c>
      <c r="T921" t="b">
        <v>0</v>
      </c>
      <c r="U921" t="s">
        <v>1019</v>
      </c>
    </row>
    <row r="922" spans="1:21">
      <c r="A922" t="s">
        <v>1104</v>
      </c>
      <c r="B922" s="113">
        <v>45037</v>
      </c>
      <c r="C922" t="s">
        <v>162</v>
      </c>
      <c r="D922" t="s">
        <v>179</v>
      </c>
      <c r="E922">
        <v>42</v>
      </c>
      <c r="F922">
        <v>404</v>
      </c>
      <c r="G922" t="s">
        <v>155</v>
      </c>
      <c r="H922">
        <v>46511.876940000002</v>
      </c>
      <c r="I922">
        <v>46511.876940000002</v>
      </c>
      <c r="J922" t="s">
        <v>148</v>
      </c>
      <c r="K922" t="s">
        <v>148</v>
      </c>
      <c r="L922">
        <v>2.4</v>
      </c>
      <c r="M922" t="s">
        <v>149</v>
      </c>
      <c r="N922">
        <v>2</v>
      </c>
      <c r="O922">
        <v>2.2000000000000002</v>
      </c>
      <c r="P922">
        <v>3</v>
      </c>
      <c r="Q922">
        <v>1350</v>
      </c>
      <c r="R922">
        <v>0.43933180900000002</v>
      </c>
      <c r="S922" t="s">
        <v>150</v>
      </c>
      <c r="T922" t="b">
        <v>0</v>
      </c>
      <c r="U922" t="s">
        <v>1019</v>
      </c>
    </row>
    <row r="923" spans="1:21">
      <c r="A923" t="s">
        <v>1105</v>
      </c>
      <c r="B923" s="113">
        <v>45038</v>
      </c>
      <c r="C923" t="s">
        <v>162</v>
      </c>
      <c r="D923" t="s">
        <v>193</v>
      </c>
      <c r="E923">
        <v>27</v>
      </c>
      <c r="F923">
        <v>820</v>
      </c>
      <c r="G923" t="s">
        <v>176</v>
      </c>
      <c r="H923">
        <v>46599.461009999999</v>
      </c>
      <c r="J923" t="s">
        <v>148</v>
      </c>
      <c r="K923" t="s">
        <v>148</v>
      </c>
      <c r="L923">
        <v>0.3</v>
      </c>
      <c r="M923" t="s">
        <v>149</v>
      </c>
      <c r="N923">
        <v>1</v>
      </c>
      <c r="O923">
        <v>5.9</v>
      </c>
      <c r="P923">
        <v>2</v>
      </c>
      <c r="Q923">
        <v>1350</v>
      </c>
      <c r="R923">
        <v>0.29060084200000003</v>
      </c>
      <c r="S923" t="s">
        <v>150</v>
      </c>
      <c r="T923" t="b">
        <v>1</v>
      </c>
      <c r="U923" t="s">
        <v>152</v>
      </c>
    </row>
    <row r="924" spans="1:21">
      <c r="A924" t="s">
        <v>1106</v>
      </c>
      <c r="B924" s="113">
        <v>45041</v>
      </c>
      <c r="C924" t="s">
        <v>162</v>
      </c>
      <c r="D924" t="s">
        <v>179</v>
      </c>
      <c r="E924">
        <v>30</v>
      </c>
      <c r="F924">
        <v>753</v>
      </c>
      <c r="G924" t="s">
        <v>169</v>
      </c>
      <c r="H924">
        <v>78659.727780000001</v>
      </c>
      <c r="I924">
        <v>78659.727780000001</v>
      </c>
      <c r="J924" t="s">
        <v>170</v>
      </c>
      <c r="K924" t="s">
        <v>170</v>
      </c>
      <c r="L924">
        <v>8.1</v>
      </c>
      <c r="M924" t="s">
        <v>149</v>
      </c>
      <c r="N924">
        <v>2</v>
      </c>
      <c r="O924">
        <v>3.5</v>
      </c>
      <c r="P924">
        <v>3</v>
      </c>
      <c r="Q924">
        <v>850</v>
      </c>
      <c r="R924">
        <v>0.13444634999999999</v>
      </c>
      <c r="S924" t="s">
        <v>150</v>
      </c>
      <c r="T924" t="b">
        <v>0</v>
      </c>
      <c r="U924" t="s">
        <v>1019</v>
      </c>
    </row>
    <row r="925" spans="1:21">
      <c r="A925" t="s">
        <v>1107</v>
      </c>
      <c r="B925" s="113">
        <v>45042</v>
      </c>
      <c r="C925" t="s">
        <v>159</v>
      </c>
      <c r="D925" t="s">
        <v>197</v>
      </c>
      <c r="E925">
        <v>39</v>
      </c>
      <c r="F925">
        <v>457</v>
      </c>
      <c r="G925" t="s">
        <v>169</v>
      </c>
      <c r="H925">
        <v>76416.38811</v>
      </c>
      <c r="I925">
        <v>76416.38811</v>
      </c>
      <c r="J925" t="s">
        <v>156</v>
      </c>
      <c r="K925" t="s">
        <v>156</v>
      </c>
      <c r="L925">
        <v>9.5</v>
      </c>
      <c r="M925" t="s">
        <v>149</v>
      </c>
      <c r="N925">
        <v>2</v>
      </c>
      <c r="O925">
        <v>4.0999999999999996</v>
      </c>
      <c r="P925">
        <v>4</v>
      </c>
      <c r="Q925">
        <v>800</v>
      </c>
      <c r="R925">
        <v>2.5142632000000002E-2</v>
      </c>
      <c r="S925" t="s">
        <v>150</v>
      </c>
      <c r="T925" t="b">
        <v>0</v>
      </c>
      <c r="U925" t="s">
        <v>1019</v>
      </c>
    </row>
    <row r="926" spans="1:21">
      <c r="A926" t="s">
        <v>1108</v>
      </c>
      <c r="B926" s="113">
        <v>45043</v>
      </c>
      <c r="C926" t="s">
        <v>162</v>
      </c>
      <c r="D926" t="s">
        <v>163</v>
      </c>
      <c r="E926">
        <v>37</v>
      </c>
      <c r="F926">
        <v>823</v>
      </c>
      <c r="G926" t="s">
        <v>147</v>
      </c>
      <c r="H926">
        <v>11381.108340000001</v>
      </c>
      <c r="J926" t="s">
        <v>148</v>
      </c>
      <c r="K926" t="s">
        <v>148</v>
      </c>
      <c r="L926">
        <v>3.9</v>
      </c>
      <c r="M926" t="s">
        <v>149</v>
      </c>
      <c r="N926">
        <v>0</v>
      </c>
      <c r="O926">
        <v>0.9</v>
      </c>
      <c r="P926">
        <v>3</v>
      </c>
      <c r="Q926">
        <v>1550</v>
      </c>
      <c r="R926">
        <v>0.18408933399999999</v>
      </c>
      <c r="S926" t="s">
        <v>150</v>
      </c>
      <c r="T926" t="b">
        <v>1</v>
      </c>
      <c r="U926" t="s">
        <v>152</v>
      </c>
    </row>
    <row r="927" spans="1:21">
      <c r="A927" t="s">
        <v>1109</v>
      </c>
      <c r="B927" s="113">
        <v>45047</v>
      </c>
      <c r="C927" t="s">
        <v>162</v>
      </c>
      <c r="D927" t="s">
        <v>193</v>
      </c>
      <c r="E927">
        <v>44</v>
      </c>
      <c r="F927">
        <v>532</v>
      </c>
      <c r="G927" t="s">
        <v>169</v>
      </c>
      <c r="H927">
        <v>103557.6286</v>
      </c>
      <c r="I927">
        <v>103557.6286</v>
      </c>
      <c r="J927" t="s">
        <v>148</v>
      </c>
      <c r="K927" t="s">
        <v>148</v>
      </c>
      <c r="L927">
        <v>0.4</v>
      </c>
      <c r="M927" t="s">
        <v>149</v>
      </c>
      <c r="N927">
        <v>2</v>
      </c>
      <c r="O927">
        <v>10.1</v>
      </c>
      <c r="P927">
        <v>3</v>
      </c>
      <c r="Q927">
        <v>1400</v>
      </c>
      <c r="R927">
        <v>0.33833339400000001</v>
      </c>
      <c r="S927" t="s">
        <v>150</v>
      </c>
      <c r="T927" t="b">
        <v>0</v>
      </c>
      <c r="U927" t="s">
        <v>1019</v>
      </c>
    </row>
    <row r="928" spans="1:21">
      <c r="A928" t="s">
        <v>1110</v>
      </c>
      <c r="B928" s="113">
        <v>45057</v>
      </c>
      <c r="C928" t="s">
        <v>145</v>
      </c>
      <c r="D928" t="s">
        <v>213</v>
      </c>
      <c r="E928">
        <v>39</v>
      </c>
      <c r="F928">
        <v>748</v>
      </c>
      <c r="G928" t="s">
        <v>176</v>
      </c>
      <c r="H928">
        <v>36945.683440000001</v>
      </c>
      <c r="I928">
        <v>36945.683440000001</v>
      </c>
      <c r="J928" t="s">
        <v>148</v>
      </c>
      <c r="K928" t="s">
        <v>148</v>
      </c>
      <c r="L928">
        <v>5</v>
      </c>
      <c r="M928" t="s">
        <v>149</v>
      </c>
      <c r="N928">
        <v>2</v>
      </c>
      <c r="O928">
        <v>1.6</v>
      </c>
      <c r="P928">
        <v>2</v>
      </c>
      <c r="Q928">
        <v>1300</v>
      </c>
      <c r="R928">
        <v>0.483934582</v>
      </c>
      <c r="S928" t="s">
        <v>198</v>
      </c>
      <c r="U928" t="s">
        <v>199</v>
      </c>
    </row>
    <row r="929" spans="1:21">
      <c r="A929" t="s">
        <v>1111</v>
      </c>
      <c r="B929" s="113">
        <v>45058</v>
      </c>
      <c r="C929" t="s">
        <v>162</v>
      </c>
      <c r="D929" t="s">
        <v>195</v>
      </c>
      <c r="E929">
        <v>65</v>
      </c>
      <c r="F929">
        <v>700</v>
      </c>
      <c r="G929" t="s">
        <v>155</v>
      </c>
      <c r="H929">
        <v>28722.509610000001</v>
      </c>
      <c r="J929" t="s">
        <v>148</v>
      </c>
      <c r="K929" t="s">
        <v>166</v>
      </c>
      <c r="L929">
        <v>10.6</v>
      </c>
      <c r="M929" t="s">
        <v>149</v>
      </c>
      <c r="N929">
        <v>2</v>
      </c>
      <c r="O929">
        <v>3.9</v>
      </c>
      <c r="P929">
        <v>0</v>
      </c>
      <c r="Q929">
        <v>1050</v>
      </c>
      <c r="R929">
        <v>0.61717345000000001</v>
      </c>
      <c r="S929" t="s">
        <v>150</v>
      </c>
      <c r="T929" t="b">
        <v>1</v>
      </c>
      <c r="U929" t="s">
        <v>152</v>
      </c>
    </row>
    <row r="930" spans="1:21">
      <c r="A930" t="s">
        <v>1112</v>
      </c>
      <c r="B930" s="113">
        <v>45061</v>
      </c>
      <c r="C930" t="s">
        <v>145</v>
      </c>
      <c r="D930" t="s">
        <v>280</v>
      </c>
      <c r="E930">
        <v>62</v>
      </c>
      <c r="F930">
        <v>767</v>
      </c>
      <c r="G930" t="s">
        <v>155</v>
      </c>
      <c r="H930">
        <v>47112.944280000003</v>
      </c>
      <c r="I930">
        <v>47112.944280000003</v>
      </c>
      <c r="J930" t="s">
        <v>148</v>
      </c>
      <c r="K930" t="s">
        <v>148</v>
      </c>
      <c r="L930">
        <v>13.1</v>
      </c>
      <c r="M930" t="s">
        <v>149</v>
      </c>
      <c r="N930">
        <v>1</v>
      </c>
      <c r="O930">
        <v>1.3</v>
      </c>
      <c r="P930">
        <v>3</v>
      </c>
      <c r="Q930">
        <v>800</v>
      </c>
      <c r="R930">
        <v>0.73464635599999994</v>
      </c>
      <c r="S930" t="s">
        <v>150</v>
      </c>
      <c r="T930" t="b">
        <v>0</v>
      </c>
      <c r="U930" t="s">
        <v>1019</v>
      </c>
    </row>
    <row r="931" spans="1:21">
      <c r="A931" t="s">
        <v>1113</v>
      </c>
      <c r="B931" s="113">
        <v>45063</v>
      </c>
      <c r="C931" t="s">
        <v>159</v>
      </c>
      <c r="D931" t="s">
        <v>165</v>
      </c>
      <c r="E931">
        <v>50</v>
      </c>
      <c r="F931">
        <v>549</v>
      </c>
      <c r="G931" t="s">
        <v>155</v>
      </c>
      <c r="H931">
        <v>31272.938160000002</v>
      </c>
      <c r="I931">
        <v>31272.938160000002</v>
      </c>
      <c r="J931" t="s">
        <v>148</v>
      </c>
      <c r="K931" t="s">
        <v>148</v>
      </c>
      <c r="L931">
        <v>1.8</v>
      </c>
      <c r="M931" t="s">
        <v>149</v>
      </c>
      <c r="N931">
        <v>3</v>
      </c>
      <c r="O931">
        <v>2.8</v>
      </c>
      <c r="P931">
        <v>3</v>
      </c>
      <c r="Q931">
        <v>900</v>
      </c>
      <c r="R931">
        <v>0.83335240200000005</v>
      </c>
      <c r="S931" t="s">
        <v>150</v>
      </c>
      <c r="T931" t="b">
        <v>0</v>
      </c>
      <c r="U931" t="s">
        <v>1019</v>
      </c>
    </row>
    <row r="932" spans="1:21">
      <c r="A932" t="s">
        <v>1114</v>
      </c>
      <c r="B932" s="113">
        <v>45065</v>
      </c>
      <c r="C932" t="s">
        <v>159</v>
      </c>
      <c r="D932" t="s">
        <v>197</v>
      </c>
      <c r="E932">
        <v>28</v>
      </c>
      <c r="F932">
        <v>768</v>
      </c>
      <c r="G932" t="s">
        <v>147</v>
      </c>
      <c r="H932">
        <v>77799.675709999996</v>
      </c>
      <c r="I932">
        <v>77799.675709999996</v>
      </c>
      <c r="J932" t="s">
        <v>183</v>
      </c>
      <c r="K932" t="s">
        <v>183</v>
      </c>
      <c r="L932">
        <v>9.3000000000000007</v>
      </c>
      <c r="M932" t="s">
        <v>149</v>
      </c>
      <c r="N932">
        <v>2</v>
      </c>
      <c r="O932">
        <v>0.8</v>
      </c>
      <c r="P932">
        <v>4</v>
      </c>
      <c r="Q932">
        <v>1100</v>
      </c>
      <c r="R932">
        <v>0.91077010000000003</v>
      </c>
      <c r="S932" t="s">
        <v>150</v>
      </c>
      <c r="T932" t="b">
        <v>0</v>
      </c>
      <c r="U932" t="s">
        <v>1019</v>
      </c>
    </row>
    <row r="933" spans="1:21">
      <c r="A933" t="s">
        <v>1115</v>
      </c>
      <c r="B933" s="113">
        <v>45079</v>
      </c>
      <c r="C933" t="s">
        <v>145</v>
      </c>
      <c r="D933" t="s">
        <v>280</v>
      </c>
      <c r="E933">
        <v>34</v>
      </c>
      <c r="F933">
        <v>763</v>
      </c>
      <c r="G933" t="s">
        <v>147</v>
      </c>
      <c r="H933">
        <v>31001.113570000001</v>
      </c>
      <c r="I933">
        <v>31001.113570000001</v>
      </c>
      <c r="J933" t="s">
        <v>148</v>
      </c>
      <c r="K933" t="s">
        <v>148</v>
      </c>
      <c r="L933">
        <v>7.8</v>
      </c>
      <c r="M933" t="s">
        <v>149</v>
      </c>
      <c r="N933">
        <v>0</v>
      </c>
      <c r="O933">
        <v>7.2</v>
      </c>
      <c r="P933">
        <v>2</v>
      </c>
      <c r="Q933">
        <v>1450</v>
      </c>
      <c r="R933">
        <v>0.96492178200000001</v>
      </c>
      <c r="S933" t="s">
        <v>198</v>
      </c>
      <c r="U933" t="s">
        <v>199</v>
      </c>
    </row>
    <row r="934" spans="1:21">
      <c r="A934" t="s">
        <v>1116</v>
      </c>
      <c r="B934" s="113">
        <v>45082</v>
      </c>
      <c r="C934" t="s">
        <v>162</v>
      </c>
      <c r="D934" t="s">
        <v>179</v>
      </c>
      <c r="E934">
        <v>37</v>
      </c>
      <c r="F934">
        <v>676</v>
      </c>
      <c r="G934" t="s">
        <v>169</v>
      </c>
      <c r="H934">
        <v>81670.916150000005</v>
      </c>
      <c r="I934">
        <v>81670.916150000005</v>
      </c>
      <c r="J934" t="s">
        <v>148</v>
      </c>
      <c r="K934" t="s">
        <v>148</v>
      </c>
      <c r="L934">
        <v>3.2</v>
      </c>
      <c r="M934" t="s">
        <v>149</v>
      </c>
      <c r="N934">
        <v>3</v>
      </c>
      <c r="O934">
        <v>4.3</v>
      </c>
      <c r="P934">
        <v>2</v>
      </c>
      <c r="Q934">
        <v>900</v>
      </c>
      <c r="R934">
        <v>0.99442411799999997</v>
      </c>
      <c r="S934" t="s">
        <v>150</v>
      </c>
      <c r="T934" t="b">
        <v>0</v>
      </c>
      <c r="U934" t="s">
        <v>1019</v>
      </c>
    </row>
    <row r="935" spans="1:21">
      <c r="A935" t="s">
        <v>1117</v>
      </c>
      <c r="B935" s="113">
        <v>45084</v>
      </c>
      <c r="C935" t="s">
        <v>145</v>
      </c>
      <c r="D935" t="s">
        <v>146</v>
      </c>
      <c r="E935">
        <v>57</v>
      </c>
      <c r="F935">
        <v>693</v>
      </c>
      <c r="G935" t="s">
        <v>169</v>
      </c>
      <c r="H935">
        <v>26325.59489</v>
      </c>
      <c r="I935">
        <v>26325.59489</v>
      </c>
      <c r="J935" t="s">
        <v>148</v>
      </c>
      <c r="K935" t="s">
        <v>148</v>
      </c>
      <c r="L935">
        <v>1.3</v>
      </c>
      <c r="M935" t="s">
        <v>149</v>
      </c>
      <c r="N935">
        <v>2</v>
      </c>
      <c r="O935">
        <v>1.3</v>
      </c>
      <c r="P935">
        <v>4</v>
      </c>
      <c r="Q935">
        <v>1100</v>
      </c>
      <c r="R935">
        <v>0.99852345899999995</v>
      </c>
      <c r="S935" t="s">
        <v>198</v>
      </c>
      <c r="U935" t="s">
        <v>199</v>
      </c>
    </row>
    <row r="936" spans="1:21">
      <c r="A936" t="s">
        <v>1118</v>
      </c>
      <c r="B936" s="113">
        <v>45086</v>
      </c>
      <c r="C936" t="s">
        <v>145</v>
      </c>
      <c r="D936" t="s">
        <v>280</v>
      </c>
      <c r="E936">
        <v>56</v>
      </c>
      <c r="F936">
        <v>405</v>
      </c>
      <c r="G936" t="s">
        <v>147</v>
      </c>
      <c r="H936">
        <v>32499.79089</v>
      </c>
      <c r="J936" t="s">
        <v>170</v>
      </c>
      <c r="K936" t="s">
        <v>170</v>
      </c>
      <c r="L936">
        <v>2.7</v>
      </c>
      <c r="M936" t="s">
        <v>149</v>
      </c>
      <c r="N936">
        <v>2</v>
      </c>
      <c r="O936">
        <v>4.2</v>
      </c>
      <c r="P936">
        <v>2</v>
      </c>
      <c r="Q936">
        <v>1700</v>
      </c>
      <c r="R936">
        <v>0.97711508599999997</v>
      </c>
      <c r="S936" t="s">
        <v>150</v>
      </c>
      <c r="T936" t="b">
        <v>0</v>
      </c>
      <c r="U936" t="s">
        <v>1019</v>
      </c>
    </row>
    <row r="937" spans="1:21">
      <c r="A937" t="s">
        <v>1119</v>
      </c>
      <c r="B937" s="113">
        <v>45087</v>
      </c>
      <c r="C937" t="s">
        <v>159</v>
      </c>
      <c r="D937" t="s">
        <v>197</v>
      </c>
      <c r="E937">
        <v>55</v>
      </c>
      <c r="F937">
        <v>672</v>
      </c>
      <c r="G937" t="s">
        <v>147</v>
      </c>
      <c r="H937">
        <v>115228.2585</v>
      </c>
      <c r="I937">
        <v>115228.2585</v>
      </c>
      <c r="J937" t="s">
        <v>156</v>
      </c>
      <c r="K937" t="s">
        <v>156</v>
      </c>
      <c r="L937">
        <v>0.1</v>
      </c>
      <c r="M937" t="s">
        <v>149</v>
      </c>
      <c r="N937">
        <v>4</v>
      </c>
      <c r="O937">
        <v>1.4</v>
      </c>
      <c r="P937">
        <v>4</v>
      </c>
      <c r="Q937">
        <v>1050</v>
      </c>
      <c r="R937">
        <v>0.930745885</v>
      </c>
      <c r="S937" t="s">
        <v>150</v>
      </c>
      <c r="T937" t="b">
        <v>0</v>
      </c>
      <c r="U937" t="s">
        <v>1019</v>
      </c>
    </row>
    <row r="938" spans="1:21">
      <c r="A938" t="s">
        <v>1120</v>
      </c>
      <c r="B938" s="113">
        <v>45087</v>
      </c>
      <c r="C938" t="s">
        <v>159</v>
      </c>
      <c r="D938" t="s">
        <v>168</v>
      </c>
      <c r="E938">
        <v>31</v>
      </c>
      <c r="F938">
        <v>786</v>
      </c>
      <c r="G938" t="s">
        <v>147</v>
      </c>
      <c r="H938">
        <v>27328.98114</v>
      </c>
      <c r="I938">
        <v>27328.98114</v>
      </c>
      <c r="J938" t="s">
        <v>148</v>
      </c>
      <c r="K938" t="s">
        <v>166</v>
      </c>
      <c r="L938">
        <v>9.1</v>
      </c>
      <c r="M938" t="s">
        <v>149</v>
      </c>
      <c r="N938">
        <v>3</v>
      </c>
      <c r="O938">
        <v>9.4</v>
      </c>
      <c r="P938">
        <v>3</v>
      </c>
      <c r="Q938">
        <v>1350</v>
      </c>
      <c r="R938">
        <v>0.86060037700000003</v>
      </c>
      <c r="S938" t="s">
        <v>198</v>
      </c>
      <c r="U938" t="s">
        <v>199</v>
      </c>
    </row>
    <row r="939" spans="1:21">
      <c r="A939" t="s">
        <v>1121</v>
      </c>
      <c r="B939" s="113">
        <v>45087</v>
      </c>
      <c r="C939" t="s">
        <v>159</v>
      </c>
      <c r="D939" t="s">
        <v>168</v>
      </c>
      <c r="E939">
        <v>33</v>
      </c>
      <c r="F939">
        <v>725</v>
      </c>
      <c r="G939" t="s">
        <v>155</v>
      </c>
      <c r="H939">
        <v>30913.368009999998</v>
      </c>
      <c r="J939" t="s">
        <v>148</v>
      </c>
      <c r="K939" t="s">
        <v>148</v>
      </c>
      <c r="L939">
        <v>0.5</v>
      </c>
      <c r="M939" t="s">
        <v>149</v>
      </c>
      <c r="N939">
        <v>0</v>
      </c>
      <c r="O939">
        <v>2</v>
      </c>
      <c r="P939">
        <v>3</v>
      </c>
      <c r="Q939">
        <v>1500</v>
      </c>
      <c r="R939">
        <v>0.76847045899999999</v>
      </c>
      <c r="S939" t="s">
        <v>150</v>
      </c>
      <c r="T939" t="b">
        <v>1</v>
      </c>
      <c r="U939" t="s">
        <v>152</v>
      </c>
    </row>
    <row r="940" spans="1:21">
      <c r="A940" t="s">
        <v>1122</v>
      </c>
      <c r="B940" s="113">
        <v>45090</v>
      </c>
      <c r="C940" t="s">
        <v>159</v>
      </c>
      <c r="D940" t="s">
        <v>197</v>
      </c>
      <c r="E940">
        <v>69</v>
      </c>
      <c r="F940">
        <v>751</v>
      </c>
      <c r="G940" t="s">
        <v>176</v>
      </c>
      <c r="H940">
        <v>67998.795060000004</v>
      </c>
      <c r="J940" t="s">
        <v>148</v>
      </c>
      <c r="K940" t="s">
        <v>148</v>
      </c>
      <c r="L940">
        <v>12.1</v>
      </c>
      <c r="M940" t="s">
        <v>149</v>
      </c>
      <c r="N940">
        <v>4</v>
      </c>
      <c r="O940">
        <v>5</v>
      </c>
      <c r="P940">
        <v>2</v>
      </c>
      <c r="Q940">
        <v>1700</v>
      </c>
      <c r="R940">
        <v>0.65670963100000002</v>
      </c>
      <c r="S940" t="s">
        <v>150</v>
      </c>
      <c r="T940" t="b">
        <v>1</v>
      </c>
      <c r="U940" t="s">
        <v>152</v>
      </c>
    </row>
    <row r="941" spans="1:21">
      <c r="A941" t="s">
        <v>1123</v>
      </c>
      <c r="B941" s="113">
        <v>45092</v>
      </c>
      <c r="C941" t="s">
        <v>159</v>
      </c>
      <c r="D941" t="s">
        <v>209</v>
      </c>
      <c r="E941">
        <v>57</v>
      </c>
      <c r="F941">
        <v>745</v>
      </c>
      <c r="G941" t="s">
        <v>155</v>
      </c>
      <c r="H941">
        <v>13595.5252</v>
      </c>
      <c r="I941">
        <v>13595.5252</v>
      </c>
      <c r="J941" t="s">
        <v>148</v>
      </c>
      <c r="K941" t="s">
        <v>166</v>
      </c>
      <c r="L941">
        <v>12.2</v>
      </c>
      <c r="M941" t="s">
        <v>149</v>
      </c>
      <c r="N941">
        <v>4</v>
      </c>
      <c r="O941">
        <v>4.5</v>
      </c>
      <c r="P941">
        <v>2</v>
      </c>
      <c r="Q941">
        <v>1000</v>
      </c>
      <c r="R941">
        <v>0.52817287000000002</v>
      </c>
      <c r="S941" t="s">
        <v>198</v>
      </c>
      <c r="U941" t="s">
        <v>199</v>
      </c>
    </row>
    <row r="942" spans="1:21">
      <c r="A942" t="s">
        <v>1124</v>
      </c>
      <c r="B942" s="113">
        <v>45093</v>
      </c>
      <c r="C942" t="s">
        <v>159</v>
      </c>
      <c r="D942" t="s">
        <v>168</v>
      </c>
      <c r="E942">
        <v>45</v>
      </c>
      <c r="F942">
        <v>736</v>
      </c>
      <c r="G942" t="s">
        <v>155</v>
      </c>
      <c r="H942">
        <v>78656.239749999993</v>
      </c>
      <c r="I942">
        <v>78656.239749999993</v>
      </c>
      <c r="J942" t="s">
        <v>148</v>
      </c>
      <c r="K942" t="s">
        <v>148</v>
      </c>
      <c r="L942">
        <v>2</v>
      </c>
      <c r="M942" t="s">
        <v>149</v>
      </c>
      <c r="N942">
        <v>2</v>
      </c>
      <c r="O942">
        <v>6.3</v>
      </c>
      <c r="P942">
        <v>3</v>
      </c>
      <c r="Q942">
        <v>1750</v>
      </c>
      <c r="R942">
        <v>0.386143705</v>
      </c>
      <c r="S942" t="s">
        <v>150</v>
      </c>
      <c r="T942" t="b">
        <v>0</v>
      </c>
      <c r="U942" t="s">
        <v>1019</v>
      </c>
    </row>
    <row r="943" spans="1:21">
      <c r="A943" t="s">
        <v>1125</v>
      </c>
      <c r="B943" s="113">
        <v>45094</v>
      </c>
      <c r="C943" t="s">
        <v>145</v>
      </c>
      <c r="D943" t="s">
        <v>172</v>
      </c>
      <c r="E943">
        <v>24</v>
      </c>
      <c r="F943">
        <v>707</v>
      </c>
      <c r="G943" t="s">
        <v>169</v>
      </c>
      <c r="H943">
        <v>40209.466560000001</v>
      </c>
      <c r="I943">
        <v>40209.466560000001</v>
      </c>
      <c r="J943" t="s">
        <v>183</v>
      </c>
      <c r="K943" t="s">
        <v>183</v>
      </c>
      <c r="L943">
        <v>4.8</v>
      </c>
      <c r="M943" t="s">
        <v>149</v>
      </c>
      <c r="N943">
        <v>4</v>
      </c>
      <c r="O943">
        <v>5.5</v>
      </c>
      <c r="P943">
        <v>3</v>
      </c>
      <c r="Q943">
        <v>1050</v>
      </c>
      <c r="R943">
        <v>0.23425033100000001</v>
      </c>
      <c r="S943" t="s">
        <v>150</v>
      </c>
      <c r="T943" t="b">
        <v>0</v>
      </c>
      <c r="U943" t="s">
        <v>1019</v>
      </c>
    </row>
    <row r="944" spans="1:21">
      <c r="A944" t="s">
        <v>1126</v>
      </c>
      <c r="B944" s="113">
        <v>45096</v>
      </c>
      <c r="C944" t="s">
        <v>159</v>
      </c>
      <c r="D944" t="s">
        <v>168</v>
      </c>
      <c r="E944">
        <v>57</v>
      </c>
      <c r="F944">
        <v>728</v>
      </c>
      <c r="G944" t="s">
        <v>155</v>
      </c>
      <c r="H944">
        <v>33922.074849999997</v>
      </c>
      <c r="I944">
        <v>33922.074849999997</v>
      </c>
      <c r="J944" t="s">
        <v>148</v>
      </c>
      <c r="K944" t="s">
        <v>148</v>
      </c>
      <c r="L944">
        <v>1.5</v>
      </c>
      <c r="M944" t="s">
        <v>149</v>
      </c>
      <c r="N944">
        <v>1</v>
      </c>
      <c r="O944">
        <v>0.7</v>
      </c>
      <c r="P944">
        <v>3</v>
      </c>
      <c r="Q944">
        <v>1400</v>
      </c>
      <c r="R944">
        <v>7.6372932000000004E-2</v>
      </c>
      <c r="S944" t="s">
        <v>150</v>
      </c>
      <c r="T944" t="b">
        <v>0</v>
      </c>
      <c r="U944" t="s">
        <v>1019</v>
      </c>
    </row>
    <row r="945" spans="1:21">
      <c r="A945" t="s">
        <v>1127</v>
      </c>
      <c r="B945" s="113">
        <v>45098</v>
      </c>
      <c r="C945" t="s">
        <v>162</v>
      </c>
      <c r="D945" t="s">
        <v>195</v>
      </c>
      <c r="E945">
        <v>35</v>
      </c>
      <c r="F945">
        <v>599</v>
      </c>
      <c r="G945" t="s">
        <v>176</v>
      </c>
      <c r="H945">
        <v>58493.548609999998</v>
      </c>
      <c r="I945">
        <v>58493.548609999998</v>
      </c>
      <c r="J945" t="s">
        <v>148</v>
      </c>
      <c r="K945" t="s">
        <v>148</v>
      </c>
      <c r="L945">
        <v>9</v>
      </c>
      <c r="M945" t="s">
        <v>149</v>
      </c>
      <c r="N945">
        <v>5</v>
      </c>
      <c r="O945">
        <v>6</v>
      </c>
      <c r="P945">
        <v>2</v>
      </c>
      <c r="Q945">
        <v>800</v>
      </c>
      <c r="R945">
        <v>8.3455448000000002E-2</v>
      </c>
      <c r="S945" t="s">
        <v>150</v>
      </c>
      <c r="T945" t="b">
        <v>0</v>
      </c>
      <c r="U945" t="s">
        <v>1019</v>
      </c>
    </row>
    <row r="946" spans="1:21">
      <c r="A946" t="s">
        <v>1128</v>
      </c>
      <c r="B946" s="113">
        <v>45099</v>
      </c>
      <c r="C946" t="s">
        <v>162</v>
      </c>
      <c r="D946" t="s">
        <v>195</v>
      </c>
      <c r="E946">
        <v>35</v>
      </c>
      <c r="F946">
        <v>677</v>
      </c>
      <c r="G946" t="s">
        <v>169</v>
      </c>
      <c r="H946">
        <v>110391.2448</v>
      </c>
      <c r="I946">
        <v>110391.2448</v>
      </c>
      <c r="J946" t="s">
        <v>148</v>
      </c>
      <c r="K946" t="s">
        <v>148</v>
      </c>
      <c r="L946">
        <v>18.7</v>
      </c>
      <c r="M946" t="s">
        <v>149</v>
      </c>
      <c r="N946">
        <v>7</v>
      </c>
      <c r="O946">
        <v>2.8</v>
      </c>
      <c r="P946">
        <v>2</v>
      </c>
      <c r="Q946">
        <v>1200</v>
      </c>
      <c r="R946">
        <v>0.24115192099999999</v>
      </c>
      <c r="S946" t="s">
        <v>150</v>
      </c>
      <c r="T946" t="b">
        <v>0</v>
      </c>
      <c r="U946" t="s">
        <v>1019</v>
      </c>
    </row>
    <row r="947" spans="1:21">
      <c r="A947" t="s">
        <v>1129</v>
      </c>
      <c r="B947" s="113">
        <v>45100</v>
      </c>
      <c r="C947" t="s">
        <v>162</v>
      </c>
      <c r="D947" t="s">
        <v>195</v>
      </c>
      <c r="E947">
        <v>57</v>
      </c>
      <c r="F947">
        <v>751</v>
      </c>
      <c r="G947" t="s">
        <v>169</v>
      </c>
      <c r="H947">
        <v>68748.280989999999</v>
      </c>
      <c r="I947">
        <v>68748.280989999999</v>
      </c>
      <c r="J947" t="s">
        <v>148</v>
      </c>
      <c r="K947" t="s">
        <v>166</v>
      </c>
      <c r="L947">
        <v>1.6</v>
      </c>
      <c r="M947" t="s">
        <v>149</v>
      </c>
      <c r="N947">
        <v>0</v>
      </c>
      <c r="O947">
        <v>5.4</v>
      </c>
      <c r="P947">
        <v>2</v>
      </c>
      <c r="Q947">
        <v>1450</v>
      </c>
      <c r="R947">
        <v>0.39268806499999998</v>
      </c>
      <c r="S947" t="s">
        <v>150</v>
      </c>
      <c r="T947" t="b">
        <v>0</v>
      </c>
      <c r="U947" t="s">
        <v>1019</v>
      </c>
    </row>
    <row r="948" spans="1:21">
      <c r="A948" t="s">
        <v>1130</v>
      </c>
      <c r="B948" s="113">
        <v>45101</v>
      </c>
      <c r="C948" t="s">
        <v>145</v>
      </c>
      <c r="D948" t="s">
        <v>146</v>
      </c>
      <c r="E948">
        <v>37</v>
      </c>
      <c r="F948">
        <v>609</v>
      </c>
      <c r="G948" t="s">
        <v>176</v>
      </c>
      <c r="H948">
        <v>25387.406749999998</v>
      </c>
      <c r="I948">
        <v>25387.406749999998</v>
      </c>
      <c r="J948" t="s">
        <v>156</v>
      </c>
      <c r="K948" t="s">
        <v>156</v>
      </c>
      <c r="L948">
        <v>2.2999999999999998</v>
      </c>
      <c r="M948" t="s">
        <v>149</v>
      </c>
      <c r="N948">
        <v>1</v>
      </c>
      <c r="O948">
        <v>2</v>
      </c>
      <c r="P948">
        <v>4</v>
      </c>
      <c r="Q948">
        <v>1200</v>
      </c>
      <c r="R948">
        <v>0.53419282099999998</v>
      </c>
      <c r="S948" t="s">
        <v>150</v>
      </c>
      <c r="T948" t="b">
        <v>0</v>
      </c>
      <c r="U948" t="s">
        <v>1019</v>
      </c>
    </row>
    <row r="949" spans="1:21">
      <c r="A949" t="s">
        <v>1131</v>
      </c>
      <c r="B949" s="113">
        <v>45102</v>
      </c>
      <c r="C949" t="s">
        <v>162</v>
      </c>
      <c r="D949" t="s">
        <v>190</v>
      </c>
      <c r="E949">
        <v>37</v>
      </c>
      <c r="F949">
        <v>714</v>
      </c>
      <c r="G949" t="s">
        <v>147</v>
      </c>
      <c r="H949">
        <v>17190.009760000001</v>
      </c>
      <c r="I949">
        <v>17190.009760000001</v>
      </c>
      <c r="J949" t="s">
        <v>148</v>
      </c>
      <c r="K949" t="s">
        <v>148</v>
      </c>
      <c r="L949">
        <v>5.3</v>
      </c>
      <c r="M949" t="s">
        <v>149</v>
      </c>
      <c r="N949">
        <v>3</v>
      </c>
      <c r="O949">
        <v>2.4</v>
      </c>
      <c r="P949">
        <v>3</v>
      </c>
      <c r="Q949">
        <v>1250</v>
      </c>
      <c r="R949">
        <v>0.66205139099999999</v>
      </c>
      <c r="S949" t="s">
        <v>198</v>
      </c>
      <c r="U949" t="s">
        <v>199</v>
      </c>
    </row>
    <row r="950" spans="1:21">
      <c r="A950" t="s">
        <v>1132</v>
      </c>
      <c r="B950" s="113">
        <v>45103</v>
      </c>
      <c r="C950" t="s">
        <v>162</v>
      </c>
      <c r="D950" t="s">
        <v>195</v>
      </c>
      <c r="E950">
        <v>42</v>
      </c>
      <c r="F950">
        <v>684</v>
      </c>
      <c r="G950" t="s">
        <v>169</v>
      </c>
      <c r="H950">
        <v>78467.661170000007</v>
      </c>
      <c r="I950">
        <v>78467.661170000007</v>
      </c>
      <c r="J950" t="s">
        <v>148</v>
      </c>
      <c r="K950" t="s">
        <v>148</v>
      </c>
      <c r="L950">
        <v>3.4</v>
      </c>
      <c r="M950" t="s">
        <v>149</v>
      </c>
      <c r="N950">
        <v>2</v>
      </c>
      <c r="O950">
        <v>2.6</v>
      </c>
      <c r="P950">
        <v>3</v>
      </c>
      <c r="Q950">
        <v>1600</v>
      </c>
      <c r="R950">
        <v>0.77299757099999999</v>
      </c>
      <c r="S950" t="s">
        <v>150</v>
      </c>
      <c r="T950" t="b">
        <v>0</v>
      </c>
      <c r="U950" t="s">
        <v>1019</v>
      </c>
    </row>
    <row r="951" spans="1:21">
      <c r="A951" t="s">
        <v>1133</v>
      </c>
      <c r="B951" s="113">
        <v>45106</v>
      </c>
      <c r="C951" t="s">
        <v>145</v>
      </c>
      <c r="D951" t="s">
        <v>172</v>
      </c>
      <c r="E951">
        <v>47</v>
      </c>
      <c r="F951">
        <v>791</v>
      </c>
      <c r="G951" t="s">
        <v>176</v>
      </c>
      <c r="H951">
        <v>108986.71339999999</v>
      </c>
      <c r="I951">
        <v>108986.71339999999</v>
      </c>
      <c r="J951" t="s">
        <v>148</v>
      </c>
      <c r="K951" t="s">
        <v>148</v>
      </c>
      <c r="L951">
        <v>5.8</v>
      </c>
      <c r="M951" t="s">
        <v>149</v>
      </c>
      <c r="N951">
        <v>4</v>
      </c>
      <c r="O951">
        <v>5</v>
      </c>
      <c r="P951">
        <v>2</v>
      </c>
      <c r="Q951">
        <v>1700</v>
      </c>
      <c r="R951">
        <v>0.86419719299999997</v>
      </c>
      <c r="S951" t="s">
        <v>150</v>
      </c>
      <c r="T951" t="b">
        <v>0</v>
      </c>
      <c r="U951" t="s">
        <v>1019</v>
      </c>
    </row>
    <row r="952" spans="1:21">
      <c r="A952" t="s">
        <v>1134</v>
      </c>
      <c r="B952" s="113">
        <v>45106</v>
      </c>
      <c r="C952" t="s">
        <v>162</v>
      </c>
      <c r="D952" t="s">
        <v>193</v>
      </c>
      <c r="E952">
        <v>49</v>
      </c>
      <c r="F952">
        <v>574</v>
      </c>
      <c r="G952" t="s">
        <v>169</v>
      </c>
      <c r="H952">
        <v>40951.318270000003</v>
      </c>
      <c r="J952" t="s">
        <v>249</v>
      </c>
      <c r="K952" t="s">
        <v>249</v>
      </c>
      <c r="L952">
        <v>1.8</v>
      </c>
      <c r="M952" t="s">
        <v>149</v>
      </c>
      <c r="N952">
        <v>2</v>
      </c>
      <c r="O952">
        <v>2.5</v>
      </c>
      <c r="P952">
        <v>3</v>
      </c>
      <c r="Q952">
        <v>1250</v>
      </c>
      <c r="R952">
        <v>0.93332052399999998</v>
      </c>
      <c r="S952" t="s">
        <v>150</v>
      </c>
      <c r="T952" t="b">
        <v>1</v>
      </c>
      <c r="U952" t="s">
        <v>152</v>
      </c>
    </row>
    <row r="953" spans="1:21">
      <c r="A953" t="s">
        <v>1135</v>
      </c>
      <c r="B953" s="113">
        <v>45107</v>
      </c>
      <c r="C953" t="s">
        <v>162</v>
      </c>
      <c r="D953" t="s">
        <v>195</v>
      </c>
      <c r="E953">
        <v>60</v>
      </c>
      <c r="F953">
        <v>681</v>
      </c>
      <c r="G953" t="s">
        <v>155</v>
      </c>
      <c r="H953">
        <v>61329.973969999999</v>
      </c>
      <c r="J953" t="s">
        <v>148</v>
      </c>
      <c r="K953" t="s">
        <v>148</v>
      </c>
      <c r="L953">
        <v>3.4</v>
      </c>
      <c r="M953" t="s">
        <v>149</v>
      </c>
      <c r="N953">
        <v>4</v>
      </c>
      <c r="O953">
        <v>0.9</v>
      </c>
      <c r="P953">
        <v>3</v>
      </c>
      <c r="Q953">
        <v>1350</v>
      </c>
      <c r="R953">
        <v>0.97860177699999995</v>
      </c>
      <c r="S953" t="s">
        <v>150</v>
      </c>
      <c r="T953" t="b">
        <v>1</v>
      </c>
      <c r="U953" t="s">
        <v>152</v>
      </c>
    </row>
    <row r="954" spans="1:21">
      <c r="A954" t="s">
        <v>1136</v>
      </c>
      <c r="B954" s="113">
        <v>45107</v>
      </c>
      <c r="C954" t="s">
        <v>145</v>
      </c>
      <c r="D954" t="s">
        <v>213</v>
      </c>
      <c r="E954">
        <v>56</v>
      </c>
      <c r="F954">
        <v>761</v>
      </c>
      <c r="G954" t="s">
        <v>155</v>
      </c>
      <c r="H954">
        <v>60596.355159999999</v>
      </c>
      <c r="I954">
        <v>60596.355159999999</v>
      </c>
      <c r="J954" t="s">
        <v>148</v>
      </c>
      <c r="K954" t="s">
        <v>148</v>
      </c>
      <c r="L954">
        <v>4.7</v>
      </c>
      <c r="M954" t="s">
        <v>151</v>
      </c>
      <c r="N954">
        <v>5</v>
      </c>
      <c r="O954">
        <v>26</v>
      </c>
      <c r="P954">
        <v>3</v>
      </c>
      <c r="Q954">
        <v>1000</v>
      </c>
      <c r="R954">
        <v>0.99888422399999999</v>
      </c>
      <c r="S954" t="s">
        <v>150</v>
      </c>
      <c r="T954" t="b">
        <v>0</v>
      </c>
      <c r="U954" t="s">
        <v>1019</v>
      </c>
    </row>
    <row r="955" spans="1:21">
      <c r="A955" t="s">
        <v>1137</v>
      </c>
      <c r="B955" s="113">
        <v>45108</v>
      </c>
      <c r="C955" t="s">
        <v>162</v>
      </c>
      <c r="D955" t="s">
        <v>187</v>
      </c>
      <c r="E955">
        <v>34</v>
      </c>
      <c r="F955">
        <v>690</v>
      </c>
      <c r="G955" t="s">
        <v>147</v>
      </c>
      <c r="H955">
        <v>181487.3891</v>
      </c>
      <c r="J955" t="s">
        <v>156</v>
      </c>
      <c r="K955" t="s">
        <v>156</v>
      </c>
      <c r="L955">
        <v>14.1</v>
      </c>
      <c r="M955" t="s">
        <v>149</v>
      </c>
      <c r="N955">
        <v>4</v>
      </c>
      <c r="O955">
        <v>3</v>
      </c>
      <c r="P955">
        <v>3</v>
      </c>
      <c r="Q955">
        <v>1100</v>
      </c>
      <c r="R955">
        <v>0.99364974100000003</v>
      </c>
      <c r="S955" t="s">
        <v>150</v>
      </c>
      <c r="T955" t="b">
        <v>1</v>
      </c>
      <c r="U955" t="s">
        <v>152</v>
      </c>
    </row>
    <row r="956" spans="1:21">
      <c r="A956" t="s">
        <v>1138</v>
      </c>
      <c r="B956" s="113">
        <v>45109</v>
      </c>
      <c r="C956" t="s">
        <v>145</v>
      </c>
      <c r="D956" t="s">
        <v>172</v>
      </c>
      <c r="E956">
        <v>52</v>
      </c>
      <c r="F956">
        <v>715</v>
      </c>
      <c r="G956" t="s">
        <v>176</v>
      </c>
      <c r="H956">
        <v>70118.602369999993</v>
      </c>
      <c r="J956" t="s">
        <v>148</v>
      </c>
      <c r="K956" t="s">
        <v>148</v>
      </c>
      <c r="L956">
        <v>1.2</v>
      </c>
      <c r="M956" t="s">
        <v>149</v>
      </c>
      <c r="N956">
        <v>1</v>
      </c>
      <c r="O956">
        <v>2.7</v>
      </c>
      <c r="P956">
        <v>2</v>
      </c>
      <c r="Q956">
        <v>1300</v>
      </c>
      <c r="R956">
        <v>0.96303204399999998</v>
      </c>
      <c r="S956" t="s">
        <v>150</v>
      </c>
      <c r="T956" t="b">
        <v>0</v>
      </c>
      <c r="U956" t="s">
        <v>1019</v>
      </c>
    </row>
    <row r="957" spans="1:21">
      <c r="A957" t="s">
        <v>1139</v>
      </c>
      <c r="B957" s="113">
        <v>45111</v>
      </c>
      <c r="C957" t="s">
        <v>145</v>
      </c>
      <c r="D957" t="s">
        <v>280</v>
      </c>
      <c r="E957">
        <v>49</v>
      </c>
      <c r="F957">
        <v>727</v>
      </c>
      <c r="G957" t="s">
        <v>147</v>
      </c>
      <c r="H957">
        <v>51423.461689999996</v>
      </c>
      <c r="I957">
        <v>51423.461689999996</v>
      </c>
      <c r="J957" t="s">
        <v>148</v>
      </c>
      <c r="K957" t="s">
        <v>148</v>
      </c>
      <c r="L957">
        <v>1.4</v>
      </c>
      <c r="M957" t="s">
        <v>149</v>
      </c>
      <c r="N957">
        <v>2</v>
      </c>
      <c r="O957">
        <v>1.5</v>
      </c>
      <c r="P957">
        <v>3</v>
      </c>
      <c r="Q957">
        <v>1550</v>
      </c>
      <c r="R957">
        <v>0.90781327700000003</v>
      </c>
      <c r="S957" t="s">
        <v>150</v>
      </c>
      <c r="T957" t="b">
        <v>0</v>
      </c>
      <c r="U957" t="s">
        <v>1019</v>
      </c>
    </row>
    <row r="958" spans="1:21">
      <c r="A958" t="s">
        <v>1140</v>
      </c>
      <c r="B958" s="113">
        <v>45114</v>
      </c>
      <c r="C958" t="s">
        <v>162</v>
      </c>
      <c r="D958" t="s">
        <v>187</v>
      </c>
      <c r="E958">
        <v>45</v>
      </c>
      <c r="F958">
        <v>739</v>
      </c>
      <c r="G958" t="s">
        <v>147</v>
      </c>
      <c r="H958">
        <v>91107.704129999998</v>
      </c>
      <c r="I958">
        <v>91107.704129999998</v>
      </c>
      <c r="J958" t="s">
        <v>148</v>
      </c>
      <c r="K958" t="s">
        <v>148</v>
      </c>
      <c r="L958">
        <v>16.399999999999999</v>
      </c>
      <c r="M958" t="s">
        <v>149</v>
      </c>
      <c r="N958">
        <v>1</v>
      </c>
      <c r="O958">
        <v>2</v>
      </c>
      <c r="P958">
        <v>4</v>
      </c>
      <c r="Q958">
        <v>1600</v>
      </c>
      <c r="R958">
        <v>0.82940402599999996</v>
      </c>
      <c r="S958" t="s">
        <v>150</v>
      </c>
      <c r="T958" t="b">
        <v>0</v>
      </c>
      <c r="U958" t="s">
        <v>1019</v>
      </c>
    </row>
    <row r="959" spans="1:21">
      <c r="A959" t="s">
        <v>1141</v>
      </c>
      <c r="B959" s="113">
        <v>45114</v>
      </c>
      <c r="C959" t="s">
        <v>162</v>
      </c>
      <c r="D959" t="s">
        <v>195</v>
      </c>
      <c r="E959">
        <v>37</v>
      </c>
      <c r="F959">
        <v>471</v>
      </c>
      <c r="G959" t="s">
        <v>147</v>
      </c>
      <c r="H959">
        <v>50521.052170000003</v>
      </c>
      <c r="I959">
        <v>50521.052170000003</v>
      </c>
      <c r="J959" t="s">
        <v>148</v>
      </c>
      <c r="K959" t="s">
        <v>148</v>
      </c>
      <c r="L959">
        <v>2</v>
      </c>
      <c r="M959" t="s">
        <v>149</v>
      </c>
      <c r="N959">
        <v>1</v>
      </c>
      <c r="O959">
        <v>19.399999999999999</v>
      </c>
      <c r="P959">
        <v>2</v>
      </c>
      <c r="Q959">
        <v>1300</v>
      </c>
      <c r="R959">
        <v>0.72980729</v>
      </c>
      <c r="S959" t="s">
        <v>150</v>
      </c>
      <c r="T959" t="b">
        <v>1</v>
      </c>
      <c r="U959" t="s">
        <v>152</v>
      </c>
    </row>
    <row r="960" spans="1:21">
      <c r="A960" t="s">
        <v>1142</v>
      </c>
      <c r="B960" s="113">
        <v>45115</v>
      </c>
      <c r="C960" t="s">
        <v>145</v>
      </c>
      <c r="D960" t="s">
        <v>280</v>
      </c>
      <c r="E960">
        <v>31</v>
      </c>
      <c r="F960">
        <v>662</v>
      </c>
      <c r="G960" t="s">
        <v>169</v>
      </c>
      <c r="H960">
        <v>14238.62815</v>
      </c>
      <c r="J960" t="s">
        <v>712</v>
      </c>
      <c r="K960" t="s">
        <v>156</v>
      </c>
      <c r="L960">
        <v>1.7</v>
      </c>
      <c r="M960" t="s">
        <v>151</v>
      </c>
      <c r="N960">
        <v>2</v>
      </c>
      <c r="O960">
        <v>0.3</v>
      </c>
      <c r="P960">
        <v>2</v>
      </c>
      <c r="Q960">
        <v>1350</v>
      </c>
      <c r="R960">
        <v>0.61156731099999995</v>
      </c>
      <c r="S960" t="s">
        <v>150</v>
      </c>
      <c r="T960" t="b">
        <v>0</v>
      </c>
      <c r="U960" t="s">
        <v>1019</v>
      </c>
    </row>
    <row r="961" spans="1:21">
      <c r="A961" t="s">
        <v>1143</v>
      </c>
      <c r="B961" s="113">
        <v>45119</v>
      </c>
      <c r="C961" t="s">
        <v>162</v>
      </c>
      <c r="D961" t="s">
        <v>195</v>
      </c>
      <c r="E961">
        <v>28</v>
      </c>
      <c r="F961">
        <v>805</v>
      </c>
      <c r="G961" t="s">
        <v>169</v>
      </c>
      <c r="H961">
        <v>77347.529750000002</v>
      </c>
      <c r="J961" t="s">
        <v>221</v>
      </c>
      <c r="K961" t="s">
        <v>221</v>
      </c>
      <c r="L961">
        <v>8</v>
      </c>
      <c r="M961" t="s">
        <v>149</v>
      </c>
      <c r="N961">
        <v>5</v>
      </c>
      <c r="O961">
        <v>21.6</v>
      </c>
      <c r="P961">
        <v>3</v>
      </c>
      <c r="Q961">
        <v>1250</v>
      </c>
      <c r="R961">
        <v>0.47770457999999999</v>
      </c>
      <c r="S961" t="s">
        <v>150</v>
      </c>
      <c r="T961" t="b">
        <v>0</v>
      </c>
      <c r="U961" t="s">
        <v>1019</v>
      </c>
    </row>
    <row r="962" spans="1:21">
      <c r="A962" t="s">
        <v>1144</v>
      </c>
      <c r="B962" s="113">
        <v>45121</v>
      </c>
      <c r="C962" t="s">
        <v>159</v>
      </c>
      <c r="D962" t="s">
        <v>197</v>
      </c>
      <c r="E962">
        <v>50</v>
      </c>
      <c r="F962">
        <v>610</v>
      </c>
      <c r="G962" t="s">
        <v>176</v>
      </c>
      <c r="H962">
        <v>102333.8616</v>
      </c>
      <c r="J962" t="s">
        <v>156</v>
      </c>
      <c r="K962" t="s">
        <v>156</v>
      </c>
      <c r="L962">
        <v>29.1</v>
      </c>
      <c r="M962" t="s">
        <v>149</v>
      </c>
      <c r="N962">
        <v>2</v>
      </c>
      <c r="O962">
        <v>1.4</v>
      </c>
      <c r="P962">
        <v>2</v>
      </c>
      <c r="Q962">
        <v>1550</v>
      </c>
      <c r="R962">
        <v>0.33163867800000002</v>
      </c>
      <c r="S962" t="s">
        <v>150</v>
      </c>
      <c r="T962" t="b">
        <v>0</v>
      </c>
      <c r="U962" t="s">
        <v>1019</v>
      </c>
    </row>
    <row r="963" spans="1:21">
      <c r="A963" t="s">
        <v>1145</v>
      </c>
      <c r="B963" s="113">
        <v>45122</v>
      </c>
      <c r="C963" t="s">
        <v>159</v>
      </c>
      <c r="D963" t="s">
        <v>168</v>
      </c>
      <c r="E963">
        <v>43</v>
      </c>
      <c r="F963">
        <v>630</v>
      </c>
      <c r="G963" t="s">
        <v>155</v>
      </c>
      <c r="H963">
        <v>59385.393089999998</v>
      </c>
      <c r="I963">
        <v>59385.393089999998</v>
      </c>
      <c r="J963" t="s">
        <v>148</v>
      </c>
      <c r="K963" t="s">
        <v>148</v>
      </c>
      <c r="L963">
        <v>2.8</v>
      </c>
      <c r="M963" t="s">
        <v>149</v>
      </c>
      <c r="N963">
        <v>1</v>
      </c>
      <c r="O963">
        <v>8.6</v>
      </c>
      <c r="P963">
        <v>2</v>
      </c>
      <c r="Q963">
        <v>1400</v>
      </c>
      <c r="R963">
        <v>0.17710092299999999</v>
      </c>
      <c r="S963" t="s">
        <v>150</v>
      </c>
      <c r="T963" t="b">
        <v>0</v>
      </c>
      <c r="U963" t="s">
        <v>1019</v>
      </c>
    </row>
    <row r="964" spans="1:21">
      <c r="A964" t="s">
        <v>1146</v>
      </c>
      <c r="B964" s="113">
        <v>45122</v>
      </c>
      <c r="C964" t="s">
        <v>159</v>
      </c>
      <c r="D964" t="s">
        <v>197</v>
      </c>
      <c r="E964">
        <v>47</v>
      </c>
      <c r="F964">
        <v>683</v>
      </c>
      <c r="G964" t="s">
        <v>169</v>
      </c>
      <c r="H964">
        <v>78782.518469999995</v>
      </c>
      <c r="I964">
        <v>78782.518469999995</v>
      </c>
      <c r="J964" t="s">
        <v>148</v>
      </c>
      <c r="K964" t="s">
        <v>148</v>
      </c>
      <c r="L964">
        <v>1.6</v>
      </c>
      <c r="M964" t="s">
        <v>149</v>
      </c>
      <c r="N964">
        <v>1</v>
      </c>
      <c r="O964">
        <v>0.8</v>
      </c>
      <c r="P964">
        <v>3</v>
      </c>
      <c r="Q964">
        <v>1200</v>
      </c>
      <c r="R964">
        <v>1.8039046999999999E-2</v>
      </c>
      <c r="S964" t="s">
        <v>150</v>
      </c>
      <c r="T964" t="b">
        <v>0</v>
      </c>
      <c r="U964" t="s">
        <v>1019</v>
      </c>
    </row>
    <row r="965" spans="1:21">
      <c r="A965" t="s">
        <v>1147</v>
      </c>
      <c r="B965" s="113">
        <v>45122</v>
      </c>
      <c r="C965" t="s">
        <v>145</v>
      </c>
      <c r="D965" t="s">
        <v>146</v>
      </c>
      <c r="E965">
        <v>22</v>
      </c>
      <c r="F965">
        <v>656</v>
      </c>
      <c r="G965" t="s">
        <v>147</v>
      </c>
      <c r="H965">
        <v>28884.928609999999</v>
      </c>
      <c r="I965">
        <v>28884.928609999999</v>
      </c>
      <c r="J965" t="s">
        <v>148</v>
      </c>
      <c r="K965" t="s">
        <v>148</v>
      </c>
      <c r="L965">
        <v>0.1</v>
      </c>
      <c r="M965" t="s">
        <v>149</v>
      </c>
      <c r="N965">
        <v>2</v>
      </c>
      <c r="O965">
        <v>2.5</v>
      </c>
      <c r="P965">
        <v>2</v>
      </c>
      <c r="Q965">
        <v>1050</v>
      </c>
      <c r="R965">
        <v>0.14148364299999999</v>
      </c>
      <c r="S965" t="s">
        <v>150</v>
      </c>
      <c r="T965" t="b">
        <v>0</v>
      </c>
      <c r="U965" t="s">
        <v>1019</v>
      </c>
    </row>
    <row r="966" spans="1:21">
      <c r="A966" t="s">
        <v>1148</v>
      </c>
      <c r="B966" s="113">
        <v>45125</v>
      </c>
      <c r="C966" t="s">
        <v>162</v>
      </c>
      <c r="D966" t="s">
        <v>187</v>
      </c>
      <c r="E966">
        <v>33</v>
      </c>
      <c r="F966">
        <v>774</v>
      </c>
      <c r="G966" t="s">
        <v>155</v>
      </c>
      <c r="H966">
        <v>117575.489</v>
      </c>
      <c r="I966">
        <v>117575.489</v>
      </c>
      <c r="J966" t="s">
        <v>148</v>
      </c>
      <c r="K966" t="s">
        <v>148</v>
      </c>
      <c r="L966">
        <v>9.3000000000000007</v>
      </c>
      <c r="M966" t="s">
        <v>149</v>
      </c>
      <c r="N966">
        <v>2</v>
      </c>
      <c r="O966">
        <v>8.8000000000000007</v>
      </c>
      <c r="P966">
        <v>3</v>
      </c>
      <c r="Q966">
        <v>1450</v>
      </c>
      <c r="R966">
        <v>0.29739207299999998</v>
      </c>
      <c r="S966" t="s">
        <v>150</v>
      </c>
      <c r="T966" t="b">
        <v>1</v>
      </c>
      <c r="U966" t="s">
        <v>152</v>
      </c>
    </row>
    <row r="967" spans="1:21">
      <c r="A967" t="s">
        <v>1149</v>
      </c>
      <c r="B967" s="113">
        <v>45129</v>
      </c>
      <c r="C967" t="s">
        <v>159</v>
      </c>
      <c r="D967" t="s">
        <v>165</v>
      </c>
      <c r="E967">
        <v>28</v>
      </c>
      <c r="F967">
        <v>622</v>
      </c>
      <c r="G967" t="s">
        <v>147</v>
      </c>
      <c r="H967">
        <v>48423.666700000002</v>
      </c>
      <c r="I967">
        <v>48423.666700000002</v>
      </c>
      <c r="J967" t="s">
        <v>183</v>
      </c>
      <c r="K967" t="s">
        <v>183</v>
      </c>
      <c r="L967">
        <v>1.3</v>
      </c>
      <c r="M967" t="s">
        <v>149</v>
      </c>
      <c r="N967">
        <v>5</v>
      </c>
      <c r="O967">
        <v>3.8</v>
      </c>
      <c r="P967">
        <v>3</v>
      </c>
      <c r="Q967">
        <v>1200</v>
      </c>
      <c r="R967">
        <v>0.44570349300000001</v>
      </c>
      <c r="S967" t="s">
        <v>150</v>
      </c>
      <c r="T967" t="b">
        <v>0</v>
      </c>
      <c r="U967" t="s">
        <v>1019</v>
      </c>
    </row>
    <row r="968" spans="1:21">
      <c r="A968" t="s">
        <v>1150</v>
      </c>
      <c r="B968" s="113">
        <v>45130</v>
      </c>
      <c r="C968" t="s">
        <v>145</v>
      </c>
      <c r="D968" t="s">
        <v>213</v>
      </c>
      <c r="E968">
        <v>35</v>
      </c>
      <c r="F968">
        <v>548</v>
      </c>
      <c r="G968" t="s">
        <v>155</v>
      </c>
      <c r="H968">
        <v>101447.1</v>
      </c>
      <c r="I968">
        <v>101447.1</v>
      </c>
      <c r="J968" t="s">
        <v>527</v>
      </c>
      <c r="K968" t="s">
        <v>156</v>
      </c>
      <c r="L968">
        <v>4.5</v>
      </c>
      <c r="M968" t="s">
        <v>149</v>
      </c>
      <c r="N968">
        <v>1</v>
      </c>
      <c r="O968">
        <v>4.0999999999999996</v>
      </c>
      <c r="P968">
        <v>2</v>
      </c>
      <c r="Q968">
        <v>1100</v>
      </c>
      <c r="R968">
        <v>0.58262922399999995</v>
      </c>
      <c r="S968" t="s">
        <v>150</v>
      </c>
      <c r="T968" t="b">
        <v>0</v>
      </c>
      <c r="U968" t="s">
        <v>1019</v>
      </c>
    </row>
    <row r="969" spans="1:21">
      <c r="A969" t="s">
        <v>1151</v>
      </c>
      <c r="B969" s="113">
        <v>45130</v>
      </c>
      <c r="C969" t="s">
        <v>159</v>
      </c>
      <c r="D969" t="s">
        <v>160</v>
      </c>
      <c r="E969">
        <v>37</v>
      </c>
      <c r="F969">
        <v>649</v>
      </c>
      <c r="G969" t="s">
        <v>147</v>
      </c>
      <c r="H969">
        <v>31621.960139999999</v>
      </c>
      <c r="I969">
        <v>31621.960139999999</v>
      </c>
      <c r="J969" t="s">
        <v>148</v>
      </c>
      <c r="K969" t="s">
        <v>148</v>
      </c>
      <c r="L969">
        <v>7.4</v>
      </c>
      <c r="M969" t="s">
        <v>149</v>
      </c>
      <c r="N969">
        <v>5</v>
      </c>
      <c r="O969">
        <v>8.5</v>
      </c>
      <c r="P969">
        <v>3</v>
      </c>
      <c r="Q969">
        <v>1300</v>
      </c>
      <c r="R969">
        <v>0.70467144000000004</v>
      </c>
      <c r="S969" t="s">
        <v>198</v>
      </c>
      <c r="U969" t="s">
        <v>199</v>
      </c>
    </row>
    <row r="970" spans="1:21">
      <c r="A970" t="s">
        <v>1152</v>
      </c>
      <c r="B970" s="113">
        <v>45130</v>
      </c>
      <c r="C970" t="s">
        <v>159</v>
      </c>
      <c r="D970" t="s">
        <v>197</v>
      </c>
      <c r="E970">
        <v>25</v>
      </c>
      <c r="F970">
        <v>645</v>
      </c>
      <c r="G970" t="s">
        <v>147</v>
      </c>
      <c r="H970">
        <v>179126.1146</v>
      </c>
      <c r="I970">
        <v>179126.1146</v>
      </c>
      <c r="J970" t="s">
        <v>148</v>
      </c>
      <c r="K970" t="s">
        <v>148</v>
      </c>
      <c r="L970">
        <v>0.2</v>
      </c>
      <c r="M970" t="s">
        <v>149</v>
      </c>
      <c r="N970">
        <v>1</v>
      </c>
      <c r="O970">
        <v>3.8</v>
      </c>
      <c r="P970">
        <v>4</v>
      </c>
      <c r="Q970">
        <v>1050</v>
      </c>
      <c r="R970">
        <v>0.80871251799999999</v>
      </c>
      <c r="S970" t="s">
        <v>150</v>
      </c>
      <c r="T970" t="b">
        <v>1</v>
      </c>
      <c r="U970" t="s">
        <v>152</v>
      </c>
    </row>
    <row r="971" spans="1:21">
      <c r="A971" t="s">
        <v>1153</v>
      </c>
      <c r="B971" s="113">
        <v>45133</v>
      </c>
      <c r="C971" t="s">
        <v>162</v>
      </c>
      <c r="D971" t="s">
        <v>179</v>
      </c>
      <c r="E971">
        <v>34</v>
      </c>
      <c r="F971">
        <v>772</v>
      </c>
      <c r="G971" t="s">
        <v>155</v>
      </c>
      <c r="H971">
        <v>118432.7248</v>
      </c>
      <c r="I971">
        <v>118432.7248</v>
      </c>
      <c r="J971" t="s">
        <v>148</v>
      </c>
      <c r="K971" t="s">
        <v>148</v>
      </c>
      <c r="L971">
        <v>4.0999999999999996</v>
      </c>
      <c r="M971" t="s">
        <v>149</v>
      </c>
      <c r="N971">
        <v>2</v>
      </c>
      <c r="O971">
        <v>0.1</v>
      </c>
      <c r="P971">
        <v>3</v>
      </c>
      <c r="Q971">
        <v>1850</v>
      </c>
      <c r="R971">
        <v>0.89209468400000003</v>
      </c>
      <c r="S971" t="s">
        <v>150</v>
      </c>
      <c r="T971" t="b">
        <v>0</v>
      </c>
      <c r="U971" t="s">
        <v>1019</v>
      </c>
    </row>
    <row r="972" spans="1:21">
      <c r="A972" t="s">
        <v>1154</v>
      </c>
      <c r="B972" s="113">
        <v>45135</v>
      </c>
      <c r="C972" t="s">
        <v>159</v>
      </c>
      <c r="D972" t="s">
        <v>197</v>
      </c>
      <c r="E972">
        <v>32</v>
      </c>
      <c r="F972">
        <v>725</v>
      </c>
      <c r="G972" t="s">
        <v>147</v>
      </c>
      <c r="H972">
        <v>10759.34952</v>
      </c>
      <c r="J972" t="s">
        <v>148</v>
      </c>
      <c r="K972" t="s">
        <v>148</v>
      </c>
      <c r="L972">
        <v>8.1999999999999993</v>
      </c>
      <c r="M972" t="s">
        <v>149</v>
      </c>
      <c r="N972">
        <v>1</v>
      </c>
      <c r="O972">
        <v>1.3</v>
      </c>
      <c r="P972">
        <v>3</v>
      </c>
      <c r="Q972">
        <v>800</v>
      </c>
      <c r="R972">
        <v>0.95268790599999997</v>
      </c>
      <c r="S972" t="s">
        <v>150</v>
      </c>
      <c r="T972" t="b">
        <v>0</v>
      </c>
      <c r="U972" t="s">
        <v>1019</v>
      </c>
    </row>
    <row r="973" spans="1:21">
      <c r="A973" t="s">
        <v>1154</v>
      </c>
      <c r="B973" s="113">
        <v>45135</v>
      </c>
      <c r="C973" t="s">
        <v>159</v>
      </c>
      <c r="D973" t="s">
        <v>197</v>
      </c>
      <c r="E973">
        <v>32</v>
      </c>
      <c r="F973">
        <v>725</v>
      </c>
      <c r="G973" t="s">
        <v>147</v>
      </c>
      <c r="H973">
        <v>10759.34952</v>
      </c>
      <c r="J973" t="s">
        <v>148</v>
      </c>
      <c r="K973" t="s">
        <v>148</v>
      </c>
      <c r="L973">
        <v>8.1999999999999993</v>
      </c>
      <c r="M973" t="s">
        <v>149</v>
      </c>
      <c r="N973">
        <v>1</v>
      </c>
      <c r="O973">
        <v>1.3</v>
      </c>
      <c r="P973">
        <v>3</v>
      </c>
      <c r="Q973">
        <v>800</v>
      </c>
      <c r="R973">
        <v>0.98894430200000005</v>
      </c>
      <c r="S973" t="s">
        <v>150</v>
      </c>
      <c r="T973" t="b">
        <v>0</v>
      </c>
      <c r="U973" t="s">
        <v>1019</v>
      </c>
    </row>
    <row r="974" spans="1:21">
      <c r="A974" t="s">
        <v>1155</v>
      </c>
      <c r="B974" s="113">
        <v>45137</v>
      </c>
      <c r="C974" t="s">
        <v>159</v>
      </c>
      <c r="D974" t="s">
        <v>209</v>
      </c>
      <c r="E974">
        <v>39</v>
      </c>
      <c r="F974">
        <v>799</v>
      </c>
      <c r="G974" t="s">
        <v>176</v>
      </c>
      <c r="H974">
        <v>17757.439470000001</v>
      </c>
      <c r="J974" t="s">
        <v>148</v>
      </c>
      <c r="K974" t="s">
        <v>148</v>
      </c>
      <c r="L974">
        <v>2.6</v>
      </c>
      <c r="M974" t="s">
        <v>149</v>
      </c>
      <c r="N974">
        <v>3</v>
      </c>
      <c r="O974">
        <v>5.0999999999999996</v>
      </c>
      <c r="P974">
        <v>2</v>
      </c>
      <c r="Q974">
        <v>800</v>
      </c>
      <c r="R974">
        <v>0.99993768699999996</v>
      </c>
      <c r="S974" t="s">
        <v>150</v>
      </c>
      <c r="T974" t="b">
        <v>1</v>
      </c>
      <c r="U974" t="s">
        <v>152</v>
      </c>
    </row>
    <row r="975" spans="1:21">
      <c r="A975" t="s">
        <v>1156</v>
      </c>
      <c r="B975" s="113">
        <v>45137</v>
      </c>
      <c r="C975" t="s">
        <v>145</v>
      </c>
      <c r="D975" t="s">
        <v>172</v>
      </c>
      <c r="E975">
        <v>28</v>
      </c>
      <c r="F975">
        <v>761</v>
      </c>
      <c r="G975" t="s">
        <v>176</v>
      </c>
      <c r="H975">
        <v>31318.919860000002</v>
      </c>
      <c r="J975" t="s">
        <v>148</v>
      </c>
      <c r="K975" t="s">
        <v>148</v>
      </c>
      <c r="L975">
        <v>9.1999999999999993</v>
      </c>
      <c r="M975" t="s">
        <v>151</v>
      </c>
      <c r="N975">
        <v>4</v>
      </c>
      <c r="O975">
        <v>6.1</v>
      </c>
      <c r="P975">
        <v>4</v>
      </c>
      <c r="Q975">
        <v>2300</v>
      </c>
      <c r="R975">
        <v>0.98538723100000003</v>
      </c>
      <c r="S975" t="s">
        <v>150</v>
      </c>
      <c r="T975" t="b">
        <v>1</v>
      </c>
      <c r="U975" t="s">
        <v>152</v>
      </c>
    </row>
    <row r="976" spans="1:21">
      <c r="A976" t="s">
        <v>1157</v>
      </c>
      <c r="B976" s="113">
        <v>45138</v>
      </c>
      <c r="C976" t="s">
        <v>159</v>
      </c>
      <c r="D976" t="s">
        <v>197</v>
      </c>
      <c r="E976">
        <v>36</v>
      </c>
      <c r="F976">
        <v>658</v>
      </c>
      <c r="G976" t="s">
        <v>147</v>
      </c>
      <c r="H976">
        <v>75565.933699999994</v>
      </c>
      <c r="I976">
        <v>75565.933699999994</v>
      </c>
      <c r="J976" t="s">
        <v>156</v>
      </c>
      <c r="K976" t="s">
        <v>156</v>
      </c>
      <c r="L976">
        <v>0.2</v>
      </c>
      <c r="M976" t="s">
        <v>149</v>
      </c>
      <c r="N976">
        <v>2</v>
      </c>
      <c r="O976">
        <v>0</v>
      </c>
      <c r="P976">
        <v>2</v>
      </c>
      <c r="Q976">
        <v>1700</v>
      </c>
      <c r="R976">
        <v>0.94566463099999998</v>
      </c>
      <c r="S976" t="s">
        <v>198</v>
      </c>
      <c r="U976" t="s">
        <v>199</v>
      </c>
    </row>
    <row r="977" spans="1:21">
      <c r="A977" t="s">
        <v>1158</v>
      </c>
      <c r="B977" s="113">
        <v>45138</v>
      </c>
      <c r="C977" t="s">
        <v>162</v>
      </c>
      <c r="D977" t="s">
        <v>163</v>
      </c>
      <c r="E977">
        <v>39</v>
      </c>
      <c r="F977">
        <v>684</v>
      </c>
      <c r="G977" t="s">
        <v>176</v>
      </c>
      <c r="H977">
        <v>119388.4743</v>
      </c>
      <c r="I977">
        <v>119388.4743</v>
      </c>
      <c r="J977" t="s">
        <v>148</v>
      </c>
      <c r="K977" t="s">
        <v>148</v>
      </c>
      <c r="L977">
        <v>10.6</v>
      </c>
      <c r="M977" t="s">
        <v>149</v>
      </c>
      <c r="N977">
        <v>6</v>
      </c>
      <c r="O977">
        <v>1.1000000000000001</v>
      </c>
      <c r="P977">
        <v>3</v>
      </c>
      <c r="Q977">
        <v>1700</v>
      </c>
      <c r="R977">
        <v>0.88178461900000005</v>
      </c>
      <c r="S977" t="s">
        <v>150</v>
      </c>
      <c r="T977" t="b">
        <v>0</v>
      </c>
      <c r="U977" t="s">
        <v>1019</v>
      </c>
    </row>
    <row r="978" spans="1:21">
      <c r="A978" t="s">
        <v>1159</v>
      </c>
      <c r="B978" s="113">
        <v>45138</v>
      </c>
      <c r="C978" t="s">
        <v>162</v>
      </c>
      <c r="D978" t="s">
        <v>195</v>
      </c>
      <c r="E978">
        <v>30</v>
      </c>
      <c r="F978">
        <v>755</v>
      </c>
      <c r="G978" t="s">
        <v>147</v>
      </c>
      <c r="H978">
        <v>116365.70759999999</v>
      </c>
      <c r="I978">
        <v>116365.70759999999</v>
      </c>
      <c r="J978" t="s">
        <v>156</v>
      </c>
      <c r="K978" t="s">
        <v>156</v>
      </c>
      <c r="L978">
        <v>1.1000000000000001</v>
      </c>
      <c r="M978" t="s">
        <v>149</v>
      </c>
      <c r="N978">
        <v>2</v>
      </c>
      <c r="O978">
        <v>10.9</v>
      </c>
      <c r="P978">
        <v>3</v>
      </c>
      <c r="Q978">
        <v>1150</v>
      </c>
      <c r="R978">
        <v>0.79537903600000004</v>
      </c>
      <c r="S978" t="s">
        <v>150</v>
      </c>
      <c r="T978" t="b">
        <v>1</v>
      </c>
      <c r="U978" t="s">
        <v>152</v>
      </c>
    </row>
    <row r="979" spans="1:21">
      <c r="A979" t="s">
        <v>1160</v>
      </c>
      <c r="B979" s="113">
        <v>45139</v>
      </c>
      <c r="C979" t="s">
        <v>162</v>
      </c>
      <c r="D979" t="s">
        <v>195</v>
      </c>
      <c r="E979">
        <v>66</v>
      </c>
      <c r="F979">
        <v>711</v>
      </c>
      <c r="G979" t="s">
        <v>169</v>
      </c>
      <c r="H979">
        <v>57661.566440000002</v>
      </c>
      <c r="I979">
        <v>57661.566440000002</v>
      </c>
      <c r="J979" t="s">
        <v>170</v>
      </c>
      <c r="K979" t="s">
        <v>170</v>
      </c>
      <c r="L979">
        <v>2.9</v>
      </c>
      <c r="M979" t="s">
        <v>149</v>
      </c>
      <c r="N979">
        <v>1</v>
      </c>
      <c r="O979">
        <v>4.5</v>
      </c>
      <c r="P979">
        <v>3</v>
      </c>
      <c r="Q979">
        <v>1200</v>
      </c>
      <c r="R979">
        <v>0.68865515200000005</v>
      </c>
      <c r="S979" t="s">
        <v>150</v>
      </c>
      <c r="T979" t="b">
        <v>0</v>
      </c>
      <c r="U979" t="s">
        <v>1019</v>
      </c>
    </row>
    <row r="980" spans="1:21">
      <c r="A980" t="s">
        <v>1161</v>
      </c>
      <c r="B980" s="113">
        <v>45145</v>
      </c>
      <c r="C980" t="s">
        <v>162</v>
      </c>
      <c r="D980" t="s">
        <v>190</v>
      </c>
      <c r="E980">
        <v>40</v>
      </c>
      <c r="F980">
        <v>755</v>
      </c>
      <c r="G980" t="s">
        <v>147</v>
      </c>
      <c r="H980">
        <v>16081.179889999999</v>
      </c>
      <c r="I980">
        <v>16081.179889999999</v>
      </c>
      <c r="J980" t="s">
        <v>148</v>
      </c>
      <c r="K980" t="s">
        <v>148</v>
      </c>
      <c r="L980">
        <v>2.2999999999999998</v>
      </c>
      <c r="M980" t="s">
        <v>149</v>
      </c>
      <c r="N980">
        <v>2</v>
      </c>
      <c r="O980">
        <v>1.2</v>
      </c>
      <c r="P980">
        <v>2</v>
      </c>
      <c r="Q980">
        <v>1150</v>
      </c>
      <c r="R980">
        <v>0.56433927299999997</v>
      </c>
      <c r="S980" t="s">
        <v>198</v>
      </c>
      <c r="U980" t="s">
        <v>199</v>
      </c>
    </row>
    <row r="981" spans="1:21">
      <c r="A981" t="s">
        <v>1162</v>
      </c>
      <c r="B981" s="113">
        <v>45148</v>
      </c>
      <c r="C981" t="s">
        <v>162</v>
      </c>
      <c r="D981" t="s">
        <v>187</v>
      </c>
      <c r="E981">
        <v>46</v>
      </c>
      <c r="F981">
        <v>691</v>
      </c>
      <c r="G981" t="s">
        <v>176</v>
      </c>
      <c r="H981">
        <v>39338.476040000001</v>
      </c>
      <c r="I981">
        <v>39338.476040000001</v>
      </c>
      <c r="J981" t="s">
        <v>183</v>
      </c>
      <c r="K981" t="s">
        <v>183</v>
      </c>
      <c r="L981">
        <v>1</v>
      </c>
      <c r="M981" t="s">
        <v>149</v>
      </c>
      <c r="N981">
        <v>5</v>
      </c>
      <c r="O981">
        <v>6</v>
      </c>
      <c r="P981">
        <v>2</v>
      </c>
      <c r="Q981">
        <v>1750</v>
      </c>
      <c r="R981">
        <v>0.42560710200000001</v>
      </c>
      <c r="S981" t="s">
        <v>150</v>
      </c>
      <c r="T981" t="b">
        <v>0</v>
      </c>
      <c r="U981" t="s">
        <v>1019</v>
      </c>
    </row>
    <row r="982" spans="1:21">
      <c r="A982" t="s">
        <v>1163</v>
      </c>
      <c r="B982" s="113">
        <v>45148</v>
      </c>
      <c r="C982" t="s">
        <v>162</v>
      </c>
      <c r="D982" t="s">
        <v>187</v>
      </c>
      <c r="E982">
        <v>24</v>
      </c>
      <c r="F982">
        <v>515</v>
      </c>
      <c r="G982" t="s">
        <v>155</v>
      </c>
      <c r="H982">
        <v>53113.865870000001</v>
      </c>
      <c r="I982">
        <v>53113.865870000001</v>
      </c>
      <c r="J982" t="s">
        <v>181</v>
      </c>
      <c r="K982" t="s">
        <v>181</v>
      </c>
      <c r="L982">
        <v>10.8</v>
      </c>
      <c r="M982" t="s">
        <v>149</v>
      </c>
      <c r="N982">
        <v>1</v>
      </c>
      <c r="O982">
        <v>5.5</v>
      </c>
      <c r="P982">
        <v>4</v>
      </c>
      <c r="Q982">
        <v>1000</v>
      </c>
      <c r="R982">
        <v>0.27600261500000001</v>
      </c>
      <c r="S982" t="s">
        <v>150</v>
      </c>
      <c r="T982" t="b">
        <v>0</v>
      </c>
      <c r="U982" t="s">
        <v>1019</v>
      </c>
    </row>
    <row r="983" spans="1:21">
      <c r="A983" t="s">
        <v>1164</v>
      </c>
      <c r="B983" s="113">
        <v>45149</v>
      </c>
      <c r="C983" t="s">
        <v>145</v>
      </c>
      <c r="D983" t="s">
        <v>213</v>
      </c>
      <c r="E983">
        <v>53</v>
      </c>
      <c r="F983">
        <v>623</v>
      </c>
      <c r="G983" t="s">
        <v>155</v>
      </c>
      <c r="H983">
        <v>39619.91822</v>
      </c>
      <c r="J983" t="s">
        <v>148</v>
      </c>
      <c r="K983" t="s">
        <v>148</v>
      </c>
      <c r="L983">
        <v>2.4</v>
      </c>
      <c r="M983" t="s">
        <v>149</v>
      </c>
      <c r="N983">
        <v>0</v>
      </c>
      <c r="O983">
        <v>3.2</v>
      </c>
      <c r="P983">
        <v>1</v>
      </c>
      <c r="Q983">
        <v>900</v>
      </c>
      <c r="R983">
        <v>0.11934752</v>
      </c>
      <c r="S983" t="s">
        <v>150</v>
      </c>
      <c r="T983" t="b">
        <v>0</v>
      </c>
      <c r="U983" t="s">
        <v>1019</v>
      </c>
    </row>
    <row r="984" spans="1:21">
      <c r="A984" t="s">
        <v>1165</v>
      </c>
      <c r="B984" s="113">
        <v>45152</v>
      </c>
      <c r="C984" t="s">
        <v>145</v>
      </c>
      <c r="D984" t="s">
        <v>213</v>
      </c>
      <c r="E984">
        <v>61</v>
      </c>
      <c r="F984">
        <v>764</v>
      </c>
      <c r="G984" t="s">
        <v>147</v>
      </c>
      <c r="H984">
        <v>63015.852189999998</v>
      </c>
      <c r="J984" t="s">
        <v>148</v>
      </c>
      <c r="K984" t="s">
        <v>148</v>
      </c>
      <c r="L984">
        <v>2.2999999999999998</v>
      </c>
      <c r="M984" t="s">
        <v>149</v>
      </c>
      <c r="N984">
        <v>2</v>
      </c>
      <c r="O984">
        <v>0.1</v>
      </c>
      <c r="P984">
        <v>4</v>
      </c>
      <c r="Q984">
        <v>1500</v>
      </c>
      <c r="R984">
        <v>4.0356358000000002E-2</v>
      </c>
      <c r="S984" t="s">
        <v>150</v>
      </c>
      <c r="T984" t="b">
        <v>0</v>
      </c>
      <c r="U984" t="s">
        <v>1019</v>
      </c>
    </row>
    <row r="985" spans="1:21">
      <c r="A985" t="s">
        <v>1166</v>
      </c>
      <c r="B985" s="113">
        <v>45152</v>
      </c>
      <c r="C985" t="s">
        <v>145</v>
      </c>
      <c r="D985" t="s">
        <v>146</v>
      </c>
      <c r="E985">
        <v>35</v>
      </c>
      <c r="F985">
        <v>749</v>
      </c>
      <c r="G985" t="s">
        <v>176</v>
      </c>
      <c r="H985">
        <v>81021.863859999998</v>
      </c>
      <c r="I985">
        <v>81021.863859999998</v>
      </c>
      <c r="J985" t="s">
        <v>156</v>
      </c>
      <c r="K985" t="s">
        <v>156</v>
      </c>
      <c r="L985">
        <v>0.7</v>
      </c>
      <c r="M985" t="s">
        <v>149</v>
      </c>
      <c r="N985">
        <v>2</v>
      </c>
      <c r="O985">
        <v>2.9</v>
      </c>
      <c r="P985">
        <v>1</v>
      </c>
      <c r="Q985">
        <v>1300</v>
      </c>
      <c r="R985">
        <v>0.19902931600000001</v>
      </c>
      <c r="S985" t="s">
        <v>150</v>
      </c>
      <c r="T985" t="b">
        <v>0</v>
      </c>
      <c r="U985" t="s">
        <v>1019</v>
      </c>
    </row>
    <row r="986" spans="1:21">
      <c r="A986" t="s">
        <v>1167</v>
      </c>
      <c r="B986" s="113">
        <v>45153</v>
      </c>
      <c r="C986" t="s">
        <v>145</v>
      </c>
      <c r="D986" t="s">
        <v>146</v>
      </c>
      <c r="E986">
        <v>40</v>
      </c>
      <c r="F986">
        <v>660</v>
      </c>
      <c r="G986" t="s">
        <v>176</v>
      </c>
      <c r="H986">
        <v>36314.659950000001</v>
      </c>
      <c r="J986" t="s">
        <v>156</v>
      </c>
      <c r="K986" t="s">
        <v>156</v>
      </c>
      <c r="L986">
        <v>0.4</v>
      </c>
      <c r="M986" t="s">
        <v>149</v>
      </c>
      <c r="N986">
        <v>4</v>
      </c>
      <c r="O986">
        <v>6.6</v>
      </c>
      <c r="P986">
        <v>3</v>
      </c>
      <c r="Q986">
        <v>800</v>
      </c>
      <c r="R986">
        <v>0.352617984</v>
      </c>
      <c r="S986" t="s">
        <v>150</v>
      </c>
      <c r="T986" t="b">
        <v>0</v>
      </c>
      <c r="U986" t="s">
        <v>1019</v>
      </c>
    </row>
    <row r="987" spans="1:21">
      <c r="A987" t="s">
        <v>1168</v>
      </c>
      <c r="B987" s="113">
        <v>45154</v>
      </c>
      <c r="C987" t="s">
        <v>162</v>
      </c>
      <c r="D987" t="s">
        <v>193</v>
      </c>
      <c r="E987">
        <v>37</v>
      </c>
      <c r="F987">
        <v>782</v>
      </c>
      <c r="G987" t="s">
        <v>176</v>
      </c>
      <c r="H987">
        <v>59929.17222</v>
      </c>
      <c r="I987">
        <v>59929.17222</v>
      </c>
      <c r="J987" t="s">
        <v>170</v>
      </c>
      <c r="K987" t="s">
        <v>170</v>
      </c>
      <c r="L987">
        <v>0.3</v>
      </c>
      <c r="M987" t="s">
        <v>149</v>
      </c>
      <c r="N987">
        <v>0</v>
      </c>
      <c r="O987">
        <v>3.6</v>
      </c>
      <c r="P987">
        <v>2</v>
      </c>
      <c r="Q987">
        <v>1600</v>
      </c>
      <c r="R987">
        <v>0.49719887200000001</v>
      </c>
      <c r="S987" t="s">
        <v>150</v>
      </c>
      <c r="T987" t="b">
        <v>0</v>
      </c>
      <c r="U987" t="s">
        <v>1019</v>
      </c>
    </row>
    <row r="988" spans="1:21">
      <c r="A988" t="s">
        <v>1169</v>
      </c>
      <c r="B988" s="113">
        <v>45158</v>
      </c>
      <c r="C988" t="s">
        <v>162</v>
      </c>
      <c r="D988" t="s">
        <v>193</v>
      </c>
      <c r="E988">
        <v>68</v>
      </c>
      <c r="F988">
        <v>581</v>
      </c>
      <c r="G988" t="s">
        <v>169</v>
      </c>
      <c r="H988">
        <v>51768.072679999997</v>
      </c>
      <c r="I988">
        <v>51768.072679999997</v>
      </c>
      <c r="J988" t="s">
        <v>148</v>
      </c>
      <c r="K988" t="s">
        <v>148</v>
      </c>
      <c r="L988">
        <v>7.5</v>
      </c>
      <c r="M988" t="s">
        <v>149</v>
      </c>
      <c r="N988">
        <v>3</v>
      </c>
      <c r="O988">
        <v>2.4</v>
      </c>
      <c r="P988">
        <v>3</v>
      </c>
      <c r="Q988">
        <v>800</v>
      </c>
      <c r="R988">
        <v>0.62907860000000004</v>
      </c>
      <c r="S988" t="s">
        <v>150</v>
      </c>
      <c r="T988" t="b">
        <v>0</v>
      </c>
      <c r="U988" t="s">
        <v>1019</v>
      </c>
    </row>
    <row r="989" spans="1:21">
      <c r="A989" t="s">
        <v>1170</v>
      </c>
      <c r="B989" s="113">
        <v>45160</v>
      </c>
      <c r="C989" t="s">
        <v>145</v>
      </c>
      <c r="D989" t="s">
        <v>154</v>
      </c>
      <c r="E989">
        <v>36</v>
      </c>
      <c r="F989">
        <v>818</v>
      </c>
      <c r="G989" t="s">
        <v>155</v>
      </c>
      <c r="H989">
        <v>19703.209599999998</v>
      </c>
      <c r="I989">
        <v>19703.209599999998</v>
      </c>
      <c r="J989" t="s">
        <v>148</v>
      </c>
      <c r="K989" t="s">
        <v>148</v>
      </c>
      <c r="L989">
        <v>2</v>
      </c>
      <c r="M989" t="s">
        <v>149</v>
      </c>
      <c r="N989">
        <v>3</v>
      </c>
      <c r="O989">
        <v>20.5</v>
      </c>
      <c r="P989">
        <v>4</v>
      </c>
      <c r="Q989">
        <v>800</v>
      </c>
      <c r="R989">
        <v>0.74488824300000001</v>
      </c>
      <c r="S989" t="s">
        <v>150</v>
      </c>
      <c r="T989" t="b">
        <v>0</v>
      </c>
      <c r="U989" t="s">
        <v>1019</v>
      </c>
    </row>
    <row r="990" spans="1:21">
      <c r="A990" t="s">
        <v>1171</v>
      </c>
      <c r="B990" s="113">
        <v>45162</v>
      </c>
      <c r="C990" t="s">
        <v>145</v>
      </c>
      <c r="D990" t="s">
        <v>154</v>
      </c>
      <c r="E990">
        <v>63</v>
      </c>
      <c r="F990">
        <v>574</v>
      </c>
      <c r="G990" t="s">
        <v>147</v>
      </c>
      <c r="H990">
        <v>6780440</v>
      </c>
      <c r="I990">
        <v>6780440</v>
      </c>
      <c r="J990" t="s">
        <v>221</v>
      </c>
      <c r="K990" t="s">
        <v>221</v>
      </c>
      <c r="L990">
        <v>1</v>
      </c>
      <c r="M990" t="s">
        <v>149</v>
      </c>
      <c r="N990">
        <v>3</v>
      </c>
      <c r="O990">
        <v>0.6</v>
      </c>
      <c r="P990">
        <v>3</v>
      </c>
      <c r="Q990">
        <v>0</v>
      </c>
      <c r="R990">
        <v>0.84166939200000002</v>
      </c>
      <c r="S990" t="s">
        <v>198</v>
      </c>
      <c r="T990" t="b">
        <v>0</v>
      </c>
      <c r="U990" t="s">
        <v>199</v>
      </c>
    </row>
    <row r="991" spans="1:21">
      <c r="A991" t="s">
        <v>1172</v>
      </c>
      <c r="B991" s="113">
        <v>45163</v>
      </c>
      <c r="C991" t="s">
        <v>159</v>
      </c>
      <c r="D991" t="s">
        <v>209</v>
      </c>
      <c r="E991">
        <v>36</v>
      </c>
      <c r="F991">
        <v>669</v>
      </c>
      <c r="G991" t="s">
        <v>176</v>
      </c>
      <c r="H991">
        <v>60586.464050000002</v>
      </c>
      <c r="I991">
        <v>60586.464050000002</v>
      </c>
      <c r="J991" t="s">
        <v>181</v>
      </c>
      <c r="K991" t="s">
        <v>181</v>
      </c>
      <c r="L991">
        <v>0.1</v>
      </c>
      <c r="M991" t="s">
        <v>149</v>
      </c>
      <c r="N991">
        <v>3</v>
      </c>
      <c r="O991">
        <v>6.7</v>
      </c>
      <c r="P991">
        <v>2</v>
      </c>
      <c r="Q991">
        <v>1600</v>
      </c>
      <c r="R991">
        <v>0.91694973300000004</v>
      </c>
      <c r="S991" t="s">
        <v>150</v>
      </c>
      <c r="T991" t="b">
        <v>0</v>
      </c>
      <c r="U991" t="s">
        <v>1019</v>
      </c>
    </row>
    <row r="992" spans="1:21">
      <c r="A992" t="s">
        <v>1173</v>
      </c>
      <c r="B992" s="113">
        <v>45165</v>
      </c>
      <c r="C992" t="s">
        <v>159</v>
      </c>
      <c r="D992" t="s">
        <v>168</v>
      </c>
      <c r="E992">
        <v>53</v>
      </c>
      <c r="F992">
        <v>588</v>
      </c>
      <c r="G992" t="s">
        <v>147</v>
      </c>
      <c r="H992">
        <v>35758.847860000002</v>
      </c>
      <c r="I992">
        <v>35758.847860000002</v>
      </c>
      <c r="J992" t="s">
        <v>221</v>
      </c>
      <c r="K992" t="s">
        <v>221</v>
      </c>
      <c r="L992">
        <v>2.4</v>
      </c>
      <c r="M992" t="s">
        <v>149</v>
      </c>
      <c r="N992">
        <v>1</v>
      </c>
      <c r="O992">
        <v>11</v>
      </c>
      <c r="P992">
        <v>3</v>
      </c>
      <c r="Q992">
        <v>1700</v>
      </c>
      <c r="R992">
        <v>0.96880619499999998</v>
      </c>
      <c r="S992" t="s">
        <v>150</v>
      </c>
      <c r="T992" t="b">
        <v>0</v>
      </c>
      <c r="U992" t="s">
        <v>1019</v>
      </c>
    </row>
    <row r="993" spans="1:21">
      <c r="A993" t="s">
        <v>1174</v>
      </c>
      <c r="B993" s="113">
        <v>45165</v>
      </c>
      <c r="C993" t="s">
        <v>145</v>
      </c>
      <c r="D993" t="s">
        <v>146</v>
      </c>
      <c r="E993">
        <v>24</v>
      </c>
      <c r="F993">
        <v>832</v>
      </c>
      <c r="G993" t="s">
        <v>176</v>
      </c>
      <c r="H993">
        <v>81446.004459999996</v>
      </c>
      <c r="J993" t="s">
        <v>148</v>
      </c>
      <c r="K993" t="s">
        <v>148</v>
      </c>
      <c r="L993">
        <v>1.6</v>
      </c>
      <c r="M993" t="s">
        <v>149</v>
      </c>
      <c r="N993">
        <v>4</v>
      </c>
      <c r="O993">
        <v>2.6</v>
      </c>
      <c r="P993">
        <v>4</v>
      </c>
      <c r="Q993">
        <v>1150</v>
      </c>
      <c r="R993">
        <v>0.99591408299999995</v>
      </c>
      <c r="S993" t="s">
        <v>150</v>
      </c>
      <c r="T993" t="b">
        <v>0</v>
      </c>
      <c r="U993" t="s">
        <v>1019</v>
      </c>
    </row>
    <row r="994" spans="1:21">
      <c r="A994" t="s">
        <v>1175</v>
      </c>
      <c r="B994" s="113">
        <v>45165</v>
      </c>
      <c r="C994" t="s">
        <v>159</v>
      </c>
      <c r="D994" t="s">
        <v>160</v>
      </c>
      <c r="E994">
        <v>47</v>
      </c>
      <c r="F994">
        <v>737</v>
      </c>
      <c r="G994" t="s">
        <v>147</v>
      </c>
      <c r="H994">
        <v>51616.046260000003</v>
      </c>
      <c r="I994">
        <v>51616.046260000003</v>
      </c>
      <c r="J994" t="s">
        <v>148</v>
      </c>
      <c r="K994" t="s">
        <v>148</v>
      </c>
      <c r="L994">
        <v>0.6</v>
      </c>
      <c r="M994" t="s">
        <v>149</v>
      </c>
      <c r="N994">
        <v>2</v>
      </c>
      <c r="O994">
        <v>0.4</v>
      </c>
      <c r="P994">
        <v>2</v>
      </c>
      <c r="Q994">
        <v>1350</v>
      </c>
      <c r="R994">
        <v>0.99758091400000004</v>
      </c>
      <c r="S994" t="s">
        <v>150</v>
      </c>
      <c r="T994" t="b">
        <v>0</v>
      </c>
      <c r="U994" t="s">
        <v>1019</v>
      </c>
    </row>
    <row r="995" spans="1:21">
      <c r="A995" t="s">
        <v>1176</v>
      </c>
      <c r="B995" s="113">
        <v>45167</v>
      </c>
      <c r="C995" t="s">
        <v>145</v>
      </c>
      <c r="D995" t="s">
        <v>280</v>
      </c>
      <c r="E995">
        <v>52</v>
      </c>
      <c r="F995">
        <v>804</v>
      </c>
      <c r="G995" t="s">
        <v>147</v>
      </c>
      <c r="H995">
        <v>22777.972539999999</v>
      </c>
      <c r="J995" t="s">
        <v>148</v>
      </c>
      <c r="K995" t="s">
        <v>148</v>
      </c>
      <c r="L995">
        <v>2.2000000000000002</v>
      </c>
      <c r="M995" t="s">
        <v>149</v>
      </c>
      <c r="N995">
        <v>2</v>
      </c>
      <c r="O995">
        <v>2.1</v>
      </c>
      <c r="P995">
        <v>3</v>
      </c>
      <c r="Q995">
        <v>1400</v>
      </c>
      <c r="R995">
        <v>0.97376410899999999</v>
      </c>
      <c r="S995" t="s">
        <v>150</v>
      </c>
      <c r="T995" t="b">
        <v>1</v>
      </c>
      <c r="U995" t="s">
        <v>152</v>
      </c>
    </row>
    <row r="996" spans="1:21">
      <c r="A996" t="s">
        <v>1177</v>
      </c>
      <c r="B996" s="113">
        <v>45167</v>
      </c>
      <c r="C996" t="s">
        <v>162</v>
      </c>
      <c r="D996" t="s">
        <v>195</v>
      </c>
      <c r="E996">
        <v>27</v>
      </c>
      <c r="F996">
        <v>700</v>
      </c>
      <c r="G996" t="s">
        <v>176</v>
      </c>
      <c r="H996">
        <v>69107.156709999996</v>
      </c>
      <c r="I996">
        <v>69107.156709999996</v>
      </c>
      <c r="J996" t="s">
        <v>148</v>
      </c>
      <c r="K996" t="s">
        <v>148</v>
      </c>
      <c r="L996">
        <v>1.9</v>
      </c>
      <c r="M996" t="s">
        <v>149</v>
      </c>
      <c r="N996">
        <v>2</v>
      </c>
      <c r="O996">
        <v>2.2000000000000002</v>
      </c>
      <c r="P996">
        <v>1</v>
      </c>
      <c r="Q996">
        <v>800</v>
      </c>
      <c r="R996">
        <v>0.92507207800000002</v>
      </c>
      <c r="S996" t="s">
        <v>150</v>
      </c>
      <c r="T996" t="b">
        <v>0</v>
      </c>
      <c r="U996" t="s">
        <v>1019</v>
      </c>
    </row>
    <row r="997" spans="1:21">
      <c r="A997" t="s">
        <v>1178</v>
      </c>
      <c r="B997" s="113">
        <v>45169</v>
      </c>
      <c r="C997" t="s">
        <v>159</v>
      </c>
      <c r="D997" t="s">
        <v>168</v>
      </c>
      <c r="E997">
        <v>59</v>
      </c>
      <c r="F997">
        <v>581</v>
      </c>
      <c r="G997" t="s">
        <v>169</v>
      </c>
      <c r="H997">
        <v>117023.6844</v>
      </c>
      <c r="I997">
        <v>117023.6844</v>
      </c>
      <c r="J997" t="s">
        <v>156</v>
      </c>
      <c r="K997" t="s">
        <v>156</v>
      </c>
      <c r="L997">
        <v>3.4</v>
      </c>
      <c r="M997" t="s">
        <v>149</v>
      </c>
      <c r="N997">
        <v>4</v>
      </c>
      <c r="O997">
        <v>3.9</v>
      </c>
      <c r="P997">
        <v>1</v>
      </c>
      <c r="Q997">
        <v>1800</v>
      </c>
      <c r="R997">
        <v>0.85274868000000004</v>
      </c>
      <c r="S997" t="s">
        <v>150</v>
      </c>
      <c r="T997" t="b">
        <v>0</v>
      </c>
      <c r="U997" t="s">
        <v>1019</v>
      </c>
    </row>
    <row r="998" spans="1:21">
      <c r="A998" t="s">
        <v>1179</v>
      </c>
      <c r="B998" s="113">
        <v>45169</v>
      </c>
      <c r="C998" t="s">
        <v>145</v>
      </c>
      <c r="D998" t="s">
        <v>213</v>
      </c>
      <c r="E998">
        <v>34</v>
      </c>
      <c r="F998">
        <v>679</v>
      </c>
      <c r="G998" t="s">
        <v>147</v>
      </c>
      <c r="H998">
        <v>52145.718630000003</v>
      </c>
      <c r="I998">
        <v>52145.718630000003</v>
      </c>
      <c r="J998" t="s">
        <v>183</v>
      </c>
      <c r="K998" t="s">
        <v>166</v>
      </c>
      <c r="L998">
        <v>0.7</v>
      </c>
      <c r="M998" t="s">
        <v>149</v>
      </c>
      <c r="N998">
        <v>4</v>
      </c>
      <c r="O998">
        <v>7.9</v>
      </c>
      <c r="P998">
        <v>1</v>
      </c>
      <c r="Q998">
        <v>1550</v>
      </c>
      <c r="R998">
        <v>0.75864144700000002</v>
      </c>
      <c r="S998" t="s">
        <v>150</v>
      </c>
      <c r="T998" t="b">
        <v>1</v>
      </c>
      <c r="U998" t="s">
        <v>152</v>
      </c>
    </row>
    <row r="999" spans="1:21">
      <c r="A999" t="s">
        <v>1180</v>
      </c>
      <c r="B999" s="113">
        <v>45170</v>
      </c>
      <c r="C999" t="s">
        <v>159</v>
      </c>
      <c r="D999" t="s">
        <v>168</v>
      </c>
      <c r="E999">
        <v>22</v>
      </c>
      <c r="F999">
        <v>747</v>
      </c>
      <c r="G999" t="s">
        <v>176</v>
      </c>
      <c r="H999">
        <v>85888.231379999997</v>
      </c>
      <c r="I999">
        <v>85888.231379999997</v>
      </c>
      <c r="J999" t="s">
        <v>148</v>
      </c>
      <c r="K999" t="s">
        <v>148</v>
      </c>
      <c r="L999">
        <v>10.3</v>
      </c>
      <c r="M999" t="s">
        <v>149</v>
      </c>
      <c r="N999">
        <v>2</v>
      </c>
      <c r="O999">
        <v>3.7</v>
      </c>
      <c r="P999">
        <v>2</v>
      </c>
      <c r="Q999">
        <v>1400</v>
      </c>
      <c r="R999">
        <v>0.64515438999999997</v>
      </c>
      <c r="S999" t="s">
        <v>150</v>
      </c>
      <c r="T999" t="b">
        <v>0</v>
      </c>
      <c r="U999" t="s">
        <v>1019</v>
      </c>
    </row>
    <row r="1000" spans="1:21">
      <c r="A1000" t="s">
        <v>1181</v>
      </c>
      <c r="B1000" s="113">
        <v>45176</v>
      </c>
      <c r="C1000" t="s">
        <v>162</v>
      </c>
      <c r="D1000" t="s">
        <v>179</v>
      </c>
      <c r="E1000">
        <v>32</v>
      </c>
      <c r="F1000">
        <v>625</v>
      </c>
      <c r="G1000" t="s">
        <v>147</v>
      </c>
      <c r="H1000">
        <v>55027.548170000002</v>
      </c>
      <c r="I1000">
        <v>55027.548170000002</v>
      </c>
      <c r="J1000" t="s">
        <v>148</v>
      </c>
      <c r="K1000" t="s">
        <v>148</v>
      </c>
      <c r="L1000">
        <v>3</v>
      </c>
      <c r="M1000" t="s">
        <v>149</v>
      </c>
      <c r="N1000">
        <v>0</v>
      </c>
      <c r="O1000">
        <v>2.5</v>
      </c>
      <c r="P1000">
        <v>4</v>
      </c>
      <c r="Q1000">
        <v>1400</v>
      </c>
      <c r="R1000">
        <v>0.51518658399999995</v>
      </c>
      <c r="S1000" t="s">
        <v>150</v>
      </c>
      <c r="T1000" t="b">
        <v>1</v>
      </c>
      <c r="U1000" t="s">
        <v>152</v>
      </c>
    </row>
    <row r="1001" spans="1:21">
      <c r="A1001" t="s">
        <v>1182</v>
      </c>
      <c r="B1001" s="113">
        <v>45182</v>
      </c>
      <c r="C1001" t="s">
        <v>162</v>
      </c>
      <c r="D1001" t="s">
        <v>195</v>
      </c>
      <c r="E1001">
        <v>57</v>
      </c>
      <c r="F1001">
        <v>750</v>
      </c>
      <c r="G1001" t="s">
        <v>169</v>
      </c>
      <c r="H1001">
        <v>103307.4608</v>
      </c>
      <c r="I1001">
        <v>103307.4608</v>
      </c>
      <c r="J1001" t="s">
        <v>148</v>
      </c>
      <c r="K1001" t="s">
        <v>148</v>
      </c>
      <c r="L1001">
        <v>0.8</v>
      </c>
      <c r="M1001" t="s">
        <v>149</v>
      </c>
      <c r="N1001">
        <v>2</v>
      </c>
      <c r="O1001">
        <v>1.4</v>
      </c>
      <c r="P1001">
        <v>3</v>
      </c>
      <c r="Q1001">
        <v>1050</v>
      </c>
      <c r="R1001">
        <v>0.372058114</v>
      </c>
      <c r="S1001" t="s">
        <v>150</v>
      </c>
      <c r="T1001" t="b">
        <v>0</v>
      </c>
      <c r="U1001" t="s">
        <v>1019</v>
      </c>
    </row>
    <row r="1002" spans="1:21">
      <c r="A1002" t="s">
        <v>1183</v>
      </c>
      <c r="B1002" s="113">
        <v>45182</v>
      </c>
      <c r="C1002" t="s">
        <v>145</v>
      </c>
      <c r="D1002" t="s">
        <v>172</v>
      </c>
      <c r="E1002">
        <v>24</v>
      </c>
      <c r="F1002">
        <v>673</v>
      </c>
      <c r="G1002" t="s">
        <v>176</v>
      </c>
      <c r="H1002">
        <v>37918.440929999997</v>
      </c>
      <c r="J1002" t="s">
        <v>183</v>
      </c>
      <c r="K1002" t="s">
        <v>183</v>
      </c>
      <c r="L1002">
        <v>1.9</v>
      </c>
      <c r="M1002" t="s">
        <v>149</v>
      </c>
      <c r="N1002">
        <v>2</v>
      </c>
      <c r="O1002">
        <v>3.2</v>
      </c>
      <c r="P1002">
        <v>3</v>
      </c>
      <c r="Q1002">
        <v>1500</v>
      </c>
      <c r="R1002">
        <v>0.21942525800000001</v>
      </c>
      <c r="S1002" t="s">
        <v>150</v>
      </c>
      <c r="T1002" t="b">
        <v>0</v>
      </c>
      <c r="U1002" t="s">
        <v>1019</v>
      </c>
    </row>
    <row r="1003" spans="1:21">
      <c r="A1003" t="s">
        <v>1184</v>
      </c>
      <c r="B1003" s="113">
        <v>45183</v>
      </c>
      <c r="C1003" t="s">
        <v>162</v>
      </c>
      <c r="D1003" t="s">
        <v>193</v>
      </c>
      <c r="E1003">
        <v>24</v>
      </c>
      <c r="F1003">
        <v>716</v>
      </c>
      <c r="G1003" t="s">
        <v>176</v>
      </c>
      <c r="H1003">
        <v>40718.961369999997</v>
      </c>
      <c r="J1003" t="s">
        <v>148</v>
      </c>
      <c r="K1003" t="s">
        <v>148</v>
      </c>
      <c r="L1003">
        <v>4.2</v>
      </c>
      <c r="M1003" t="s">
        <v>149</v>
      </c>
      <c r="N1003">
        <v>0</v>
      </c>
      <c r="O1003">
        <v>11.5</v>
      </c>
      <c r="P1003">
        <v>3</v>
      </c>
      <c r="Q1003">
        <v>1600</v>
      </c>
      <c r="R1003">
        <v>6.1187089E-2</v>
      </c>
      <c r="S1003" t="s">
        <v>150</v>
      </c>
      <c r="T1003" t="b">
        <v>0</v>
      </c>
      <c r="U1003" t="s">
        <v>1019</v>
      </c>
    </row>
    <row r="1004" spans="1:21">
      <c r="A1004" t="s">
        <v>1185</v>
      </c>
      <c r="B1004" s="113">
        <v>45184</v>
      </c>
      <c r="C1004" t="s">
        <v>159</v>
      </c>
      <c r="D1004" t="s">
        <v>165</v>
      </c>
      <c r="E1004">
        <v>63</v>
      </c>
      <c r="F1004">
        <v>611</v>
      </c>
      <c r="G1004" t="s">
        <v>155</v>
      </c>
      <c r="H1004">
        <v>31859.176759999998</v>
      </c>
      <c r="J1004" t="s">
        <v>148</v>
      </c>
      <c r="K1004" t="s">
        <v>148</v>
      </c>
      <c r="L1004">
        <v>3.2</v>
      </c>
      <c r="M1004" t="s">
        <v>149</v>
      </c>
      <c r="N1004">
        <v>1</v>
      </c>
      <c r="O1004">
        <v>0.5</v>
      </c>
      <c r="P1004">
        <v>4</v>
      </c>
      <c r="Q1004">
        <v>1050</v>
      </c>
      <c r="R1004">
        <v>9.8614129999999994E-2</v>
      </c>
      <c r="S1004" t="s">
        <v>150</v>
      </c>
      <c r="T1004" t="b">
        <v>0</v>
      </c>
      <c r="U1004" t="s">
        <v>1019</v>
      </c>
    </row>
    <row r="1005" spans="1:21">
      <c r="A1005" t="s">
        <v>1186</v>
      </c>
      <c r="B1005" s="113">
        <v>45185</v>
      </c>
      <c r="C1005" t="s">
        <v>145</v>
      </c>
      <c r="D1005" t="s">
        <v>213</v>
      </c>
      <c r="E1005">
        <v>49</v>
      </c>
      <c r="F1005">
        <v>740</v>
      </c>
      <c r="G1005" t="s">
        <v>155</v>
      </c>
      <c r="H1005">
        <v>67550.17525</v>
      </c>
      <c r="I1005">
        <v>67550.17525</v>
      </c>
      <c r="J1005" t="s">
        <v>156</v>
      </c>
      <c r="K1005" t="s">
        <v>156</v>
      </c>
      <c r="L1005">
        <v>1.5</v>
      </c>
      <c r="M1005" t="s">
        <v>149</v>
      </c>
      <c r="N1005">
        <v>4</v>
      </c>
      <c r="O1005">
        <v>4.8</v>
      </c>
      <c r="P1005">
        <v>3</v>
      </c>
      <c r="Q1005">
        <v>1600</v>
      </c>
      <c r="R1005">
        <v>0.25589621000000001</v>
      </c>
      <c r="S1005" t="s">
        <v>150</v>
      </c>
      <c r="T1005" t="b">
        <v>0</v>
      </c>
      <c r="U1005" t="s">
        <v>1019</v>
      </c>
    </row>
    <row r="1006" spans="1:21">
      <c r="A1006" t="s">
        <v>1187</v>
      </c>
      <c r="B1006" s="113">
        <v>45186</v>
      </c>
      <c r="C1006" t="s">
        <v>145</v>
      </c>
      <c r="D1006" t="s">
        <v>172</v>
      </c>
      <c r="E1006">
        <v>70</v>
      </c>
      <c r="F1006">
        <v>823</v>
      </c>
      <c r="G1006" t="s">
        <v>169</v>
      </c>
      <c r="H1006">
        <v>118514.3094</v>
      </c>
      <c r="J1006" t="s">
        <v>183</v>
      </c>
      <c r="K1006" t="s">
        <v>183</v>
      </c>
      <c r="L1006">
        <v>5.6</v>
      </c>
      <c r="M1006" t="s">
        <v>149</v>
      </c>
      <c r="N1006">
        <v>2</v>
      </c>
      <c r="O1006">
        <v>8.5</v>
      </c>
      <c r="P1006">
        <v>2</v>
      </c>
      <c r="Q1006">
        <v>1800</v>
      </c>
      <c r="R1006">
        <v>0.40664130900000001</v>
      </c>
      <c r="S1006" t="s">
        <v>150</v>
      </c>
      <c r="T1006" t="b">
        <v>1</v>
      </c>
      <c r="U1006" t="s">
        <v>152</v>
      </c>
    </row>
    <row r="1007" spans="1:21">
      <c r="A1007" t="s">
        <v>1188</v>
      </c>
      <c r="B1007" s="113">
        <v>45186</v>
      </c>
      <c r="C1007" t="s">
        <v>145</v>
      </c>
      <c r="D1007" t="s">
        <v>146</v>
      </c>
      <c r="E1007">
        <v>39</v>
      </c>
      <c r="F1007">
        <v>678</v>
      </c>
      <c r="G1007" t="s">
        <v>155</v>
      </c>
      <c r="H1007">
        <v>24770.6122</v>
      </c>
      <c r="J1007" t="s">
        <v>148</v>
      </c>
      <c r="K1007" t="s">
        <v>148</v>
      </c>
      <c r="L1007">
        <v>3.6</v>
      </c>
      <c r="M1007" t="s">
        <v>149</v>
      </c>
      <c r="N1007">
        <v>4</v>
      </c>
      <c r="O1007">
        <v>6.1</v>
      </c>
      <c r="P1007">
        <v>2</v>
      </c>
      <c r="Q1007">
        <v>1200</v>
      </c>
      <c r="R1007">
        <v>0.54699858000000001</v>
      </c>
      <c r="S1007" t="s">
        <v>150</v>
      </c>
      <c r="T1007" t="b">
        <v>0</v>
      </c>
      <c r="U1007" t="s">
        <v>1019</v>
      </c>
    </row>
    <row r="1008" spans="1:21">
      <c r="A1008" t="s">
        <v>1189</v>
      </c>
      <c r="B1008" s="113">
        <v>45188</v>
      </c>
      <c r="C1008" t="s">
        <v>159</v>
      </c>
      <c r="D1008" t="s">
        <v>197</v>
      </c>
      <c r="E1008">
        <v>26</v>
      </c>
      <c r="F1008">
        <v>613</v>
      </c>
      <c r="G1008" t="s">
        <v>155</v>
      </c>
      <c r="H1008">
        <v>49849.04739</v>
      </c>
      <c r="I1008">
        <v>49849.04739</v>
      </c>
      <c r="J1008" t="s">
        <v>148</v>
      </c>
      <c r="K1008" t="s">
        <v>148</v>
      </c>
      <c r="L1008">
        <v>1.9</v>
      </c>
      <c r="M1008" t="s">
        <v>149</v>
      </c>
      <c r="N1008">
        <v>0</v>
      </c>
      <c r="O1008">
        <v>1.4</v>
      </c>
      <c r="P1008">
        <v>1</v>
      </c>
      <c r="Q1008">
        <v>1950</v>
      </c>
      <c r="R1008">
        <v>0.67338253599999998</v>
      </c>
      <c r="S1008" t="s">
        <v>198</v>
      </c>
      <c r="U1008" t="s">
        <v>199</v>
      </c>
    </row>
    <row r="1009" spans="1:21">
      <c r="A1009" t="s">
        <v>1190</v>
      </c>
      <c r="B1009" s="113">
        <v>45190</v>
      </c>
      <c r="C1009" t="s">
        <v>159</v>
      </c>
      <c r="D1009" t="s">
        <v>160</v>
      </c>
      <c r="E1009">
        <v>33</v>
      </c>
      <c r="F1009">
        <v>821</v>
      </c>
      <c r="G1009" t="s">
        <v>169</v>
      </c>
      <c r="H1009">
        <v>86761.639030000006</v>
      </c>
      <c r="I1009">
        <v>86761.639030000006</v>
      </c>
      <c r="J1009" t="s">
        <v>148</v>
      </c>
      <c r="K1009" t="s">
        <v>166</v>
      </c>
      <c r="L1009">
        <v>5.5</v>
      </c>
      <c r="M1009" t="s">
        <v>149</v>
      </c>
      <c r="N1009">
        <v>0</v>
      </c>
      <c r="O1009">
        <v>1.9</v>
      </c>
      <c r="P1009">
        <v>2</v>
      </c>
      <c r="Q1009">
        <v>1800</v>
      </c>
      <c r="R1009">
        <v>0.78256464299999995</v>
      </c>
      <c r="S1009" t="s">
        <v>150</v>
      </c>
      <c r="T1009" t="b">
        <v>0</v>
      </c>
      <c r="U1009" t="s">
        <v>1019</v>
      </c>
    </row>
    <row r="1010" spans="1:21">
      <c r="A1010" t="s">
        <v>1191</v>
      </c>
      <c r="B1010" s="113">
        <v>45192</v>
      </c>
      <c r="C1010" t="s">
        <v>145</v>
      </c>
      <c r="D1010" t="s">
        <v>280</v>
      </c>
      <c r="E1010">
        <v>30</v>
      </c>
      <c r="F1010">
        <v>677</v>
      </c>
      <c r="G1010" t="s">
        <v>169</v>
      </c>
      <c r="H1010">
        <v>67337.264190000002</v>
      </c>
      <c r="I1010">
        <v>67337.264190000002</v>
      </c>
      <c r="J1010" t="s">
        <v>148</v>
      </c>
      <c r="K1010" t="s">
        <v>148</v>
      </c>
      <c r="L1010">
        <v>0.6</v>
      </c>
      <c r="M1010" t="s">
        <v>149</v>
      </c>
      <c r="N1010">
        <v>4</v>
      </c>
      <c r="O1010">
        <v>5.9</v>
      </c>
      <c r="P1010">
        <v>2</v>
      </c>
      <c r="Q1010">
        <v>850</v>
      </c>
      <c r="R1010">
        <v>0.87175579599999997</v>
      </c>
      <c r="S1010" t="s">
        <v>150</v>
      </c>
      <c r="T1010" t="b">
        <v>0</v>
      </c>
      <c r="U1010" t="s">
        <v>1019</v>
      </c>
    </row>
    <row r="1011" spans="1:21">
      <c r="A1011" t="s">
        <v>1192</v>
      </c>
      <c r="B1011" s="113">
        <v>45194</v>
      </c>
      <c r="C1011" t="s">
        <v>159</v>
      </c>
      <c r="D1011" t="s">
        <v>209</v>
      </c>
      <c r="E1011">
        <v>33</v>
      </c>
      <c r="F1011">
        <v>764</v>
      </c>
      <c r="G1011" t="s">
        <v>155</v>
      </c>
      <c r="H1011">
        <v>37151.175080000001</v>
      </c>
      <c r="I1011">
        <v>37151.175080000001</v>
      </c>
      <c r="J1011" t="s">
        <v>148</v>
      </c>
      <c r="K1011" t="s">
        <v>148</v>
      </c>
      <c r="L1011">
        <v>4.9000000000000004</v>
      </c>
      <c r="M1011" t="s">
        <v>149</v>
      </c>
      <c r="N1011">
        <v>0</v>
      </c>
      <c r="O1011">
        <v>0.4</v>
      </c>
      <c r="P1011">
        <v>3</v>
      </c>
      <c r="Q1011">
        <v>850</v>
      </c>
      <c r="R1011">
        <v>0.93867757100000004</v>
      </c>
      <c r="S1011" t="s">
        <v>150</v>
      </c>
      <c r="T1011" t="b">
        <v>0</v>
      </c>
      <c r="U1011" t="s">
        <v>1019</v>
      </c>
    </row>
    <row r="1012" spans="1:21">
      <c r="A1012" t="s">
        <v>1193</v>
      </c>
      <c r="B1012" s="113">
        <v>45194</v>
      </c>
      <c r="C1012" t="s">
        <v>159</v>
      </c>
      <c r="D1012" t="s">
        <v>160</v>
      </c>
      <c r="E1012">
        <v>32</v>
      </c>
      <c r="F1012">
        <v>719</v>
      </c>
      <c r="G1012" t="s">
        <v>169</v>
      </c>
      <c r="H1012">
        <v>76068.515950000001</v>
      </c>
      <c r="I1012">
        <v>76068.515950000001</v>
      </c>
      <c r="J1012" t="s">
        <v>156</v>
      </c>
      <c r="K1012" t="s">
        <v>156</v>
      </c>
      <c r="L1012">
        <v>4.3</v>
      </c>
      <c r="M1012" t="s">
        <v>149</v>
      </c>
      <c r="N1012">
        <v>1</v>
      </c>
      <c r="O1012">
        <v>0.5</v>
      </c>
      <c r="P1012">
        <v>2</v>
      </c>
      <c r="Q1012">
        <v>1550</v>
      </c>
      <c r="R1012">
        <v>0.98162042000000005</v>
      </c>
      <c r="S1012" t="s">
        <v>150</v>
      </c>
      <c r="T1012" t="b">
        <v>0</v>
      </c>
      <c r="U1012" t="s">
        <v>1019</v>
      </c>
    </row>
    <row r="1013" spans="1:21">
      <c r="A1013" t="s">
        <v>1194</v>
      </c>
      <c r="B1013" s="113">
        <v>45195</v>
      </c>
      <c r="C1013" t="s">
        <v>162</v>
      </c>
      <c r="D1013" t="s">
        <v>195</v>
      </c>
      <c r="E1013">
        <v>58</v>
      </c>
      <c r="F1013">
        <v>601</v>
      </c>
      <c r="G1013" t="s">
        <v>176</v>
      </c>
      <c r="H1013">
        <v>38727.055030000003</v>
      </c>
      <c r="I1013">
        <v>38727.055030000003</v>
      </c>
      <c r="J1013" t="s">
        <v>148</v>
      </c>
      <c r="K1013" t="s">
        <v>148</v>
      </c>
      <c r="L1013">
        <v>8.5</v>
      </c>
      <c r="M1013" t="s">
        <v>149</v>
      </c>
      <c r="N1013">
        <v>1</v>
      </c>
      <c r="O1013">
        <v>2.1</v>
      </c>
      <c r="P1013">
        <v>3</v>
      </c>
      <c r="Q1013">
        <v>1000</v>
      </c>
      <c r="R1013">
        <v>0.99948735</v>
      </c>
      <c r="S1013" t="s">
        <v>150</v>
      </c>
      <c r="T1013" t="b">
        <v>0</v>
      </c>
      <c r="U1013" t="s">
        <v>1019</v>
      </c>
    </row>
    <row r="1014" spans="1:21">
      <c r="A1014" t="s">
        <v>1195</v>
      </c>
      <c r="B1014" s="113">
        <v>45197</v>
      </c>
      <c r="C1014" t="s">
        <v>162</v>
      </c>
      <c r="D1014" t="s">
        <v>179</v>
      </c>
      <c r="E1014">
        <v>58</v>
      </c>
      <c r="F1014">
        <v>748</v>
      </c>
      <c r="G1014" t="s">
        <v>176</v>
      </c>
      <c r="H1014">
        <v>150137.19570000001</v>
      </c>
      <c r="I1014">
        <v>150137.19570000001</v>
      </c>
      <c r="J1014" t="s">
        <v>148</v>
      </c>
      <c r="K1014" t="s">
        <v>148</v>
      </c>
      <c r="L1014">
        <v>1.3</v>
      </c>
      <c r="M1014" t="s">
        <v>149</v>
      </c>
      <c r="N1014">
        <v>2</v>
      </c>
      <c r="O1014">
        <v>3.2</v>
      </c>
      <c r="P1014">
        <v>3</v>
      </c>
      <c r="Q1014">
        <v>1150</v>
      </c>
      <c r="R1014">
        <v>0.99182194300000004</v>
      </c>
      <c r="S1014" t="s">
        <v>150</v>
      </c>
      <c r="T1014" t="b">
        <v>0</v>
      </c>
      <c r="U1014" t="s">
        <v>1019</v>
      </c>
    </row>
    <row r="1015" spans="1:21">
      <c r="A1015" t="s">
        <v>1196</v>
      </c>
      <c r="B1015" s="113">
        <v>45198</v>
      </c>
      <c r="C1015" t="s">
        <v>162</v>
      </c>
      <c r="D1015" t="s">
        <v>195</v>
      </c>
      <c r="E1015">
        <v>41</v>
      </c>
      <c r="F1015">
        <v>657</v>
      </c>
      <c r="G1015" t="s">
        <v>147</v>
      </c>
      <c r="H1015">
        <v>49889.751179999999</v>
      </c>
      <c r="I1015">
        <v>49889.751179999999</v>
      </c>
      <c r="J1015" t="s">
        <v>148</v>
      </c>
      <c r="K1015" t="s">
        <v>148</v>
      </c>
      <c r="L1015">
        <v>20.9</v>
      </c>
      <c r="M1015" t="s">
        <v>149</v>
      </c>
      <c r="N1015">
        <v>1</v>
      </c>
      <c r="O1015">
        <v>5.3</v>
      </c>
      <c r="P1015">
        <v>3</v>
      </c>
      <c r="Q1015">
        <v>1250</v>
      </c>
      <c r="R1015">
        <v>0.95882001500000003</v>
      </c>
      <c r="S1015" t="s">
        <v>150</v>
      </c>
      <c r="T1015" t="b">
        <v>0</v>
      </c>
      <c r="U1015" t="s">
        <v>1019</v>
      </c>
    </row>
    <row r="1016" spans="1:21">
      <c r="A1016" t="s">
        <v>1197</v>
      </c>
      <c r="B1016" s="113">
        <v>45198</v>
      </c>
      <c r="C1016" t="s">
        <v>162</v>
      </c>
      <c r="D1016" t="s">
        <v>187</v>
      </c>
      <c r="E1016">
        <v>26</v>
      </c>
      <c r="F1016">
        <v>701</v>
      </c>
      <c r="G1016" t="s">
        <v>169</v>
      </c>
      <c r="H1016">
        <v>153486.80540000001</v>
      </c>
      <c r="I1016">
        <v>153486.80540000001</v>
      </c>
      <c r="J1016" t="s">
        <v>148</v>
      </c>
      <c r="K1016" t="s">
        <v>148</v>
      </c>
      <c r="L1016">
        <v>7.6</v>
      </c>
      <c r="M1016" t="s">
        <v>149</v>
      </c>
      <c r="N1016">
        <v>2</v>
      </c>
      <c r="O1016">
        <v>15.6</v>
      </c>
      <c r="P1016">
        <v>4</v>
      </c>
      <c r="Q1016">
        <v>1550</v>
      </c>
      <c r="R1016">
        <v>0.90132461399999997</v>
      </c>
      <c r="S1016" t="s">
        <v>150</v>
      </c>
      <c r="T1016" t="b">
        <v>1</v>
      </c>
      <c r="U1016" t="s">
        <v>152</v>
      </c>
    </row>
    <row r="1017" spans="1:21">
      <c r="A1017" t="s">
        <v>1198</v>
      </c>
      <c r="B1017" s="113">
        <v>45199</v>
      </c>
      <c r="C1017" t="s">
        <v>162</v>
      </c>
      <c r="D1017" t="s">
        <v>187</v>
      </c>
      <c r="E1017">
        <v>56</v>
      </c>
      <c r="F1017">
        <v>503</v>
      </c>
      <c r="G1017" t="s">
        <v>169</v>
      </c>
      <c r="H1017">
        <v>34401.937250000003</v>
      </c>
      <c r="I1017">
        <v>34401.937250000003</v>
      </c>
      <c r="J1017" t="s">
        <v>148</v>
      </c>
      <c r="K1017" t="s">
        <v>148</v>
      </c>
      <c r="L1017">
        <v>0.4</v>
      </c>
      <c r="M1017" t="s">
        <v>149</v>
      </c>
      <c r="N1017">
        <v>2</v>
      </c>
      <c r="O1017">
        <v>1.2</v>
      </c>
      <c r="P1017">
        <v>3</v>
      </c>
      <c r="Q1017">
        <v>1100</v>
      </c>
      <c r="R1017">
        <v>0.82080448500000003</v>
      </c>
      <c r="S1017" t="s">
        <v>150</v>
      </c>
      <c r="T1017" t="b">
        <v>0</v>
      </c>
      <c r="U1017" t="s">
        <v>1019</v>
      </c>
    </row>
    <row r="1018" spans="1:21">
      <c r="A1018" t="s">
        <v>1199</v>
      </c>
      <c r="B1018" s="113">
        <v>45200</v>
      </c>
      <c r="C1018" t="s">
        <v>159</v>
      </c>
      <c r="D1018" t="s">
        <v>160</v>
      </c>
      <c r="E1018">
        <v>29</v>
      </c>
      <c r="F1018">
        <v>697</v>
      </c>
      <c r="G1018" t="s">
        <v>169</v>
      </c>
      <c r="H1018">
        <v>56146.53501</v>
      </c>
      <c r="I1018">
        <v>56146.53501</v>
      </c>
      <c r="J1018" t="s">
        <v>156</v>
      </c>
      <c r="K1018" t="s">
        <v>156</v>
      </c>
      <c r="L1018">
        <v>21</v>
      </c>
      <c r="M1018" t="s">
        <v>149</v>
      </c>
      <c r="N1018">
        <v>1</v>
      </c>
      <c r="O1018">
        <v>1.6</v>
      </c>
      <c r="P1018">
        <v>3</v>
      </c>
      <c r="Q1018">
        <v>900</v>
      </c>
      <c r="R1018">
        <v>0.71931655000000005</v>
      </c>
      <c r="S1018" t="s">
        <v>150</v>
      </c>
      <c r="T1018" t="b">
        <v>0</v>
      </c>
      <c r="U1018" t="s">
        <v>1019</v>
      </c>
    </row>
    <row r="1019" spans="1:21">
      <c r="A1019" t="s">
        <v>1200</v>
      </c>
      <c r="B1019" s="113">
        <v>45200</v>
      </c>
      <c r="C1019" t="s">
        <v>162</v>
      </c>
      <c r="D1019" t="s">
        <v>193</v>
      </c>
      <c r="E1019">
        <v>54</v>
      </c>
      <c r="F1019">
        <v>656</v>
      </c>
      <c r="G1019" t="s">
        <v>147</v>
      </c>
      <c r="H1019">
        <v>23721.817449999999</v>
      </c>
      <c r="I1019">
        <v>23721.817449999999</v>
      </c>
      <c r="J1019" t="s">
        <v>183</v>
      </c>
      <c r="K1019" t="s">
        <v>183</v>
      </c>
      <c r="L1019">
        <v>1.6</v>
      </c>
      <c r="M1019" t="s">
        <v>149</v>
      </c>
      <c r="N1019">
        <v>2</v>
      </c>
      <c r="O1019">
        <v>9.5</v>
      </c>
      <c r="P1019">
        <v>2</v>
      </c>
      <c r="Q1019">
        <v>1250</v>
      </c>
      <c r="R1019">
        <v>0.59945336199999999</v>
      </c>
      <c r="S1019" t="s">
        <v>150</v>
      </c>
      <c r="T1019" t="b">
        <v>0</v>
      </c>
      <c r="U1019" t="s">
        <v>1019</v>
      </c>
    </row>
    <row r="1020" spans="1:21">
      <c r="A1020" t="s">
        <v>1201</v>
      </c>
      <c r="B1020" s="113">
        <v>45202</v>
      </c>
      <c r="C1020" t="s">
        <v>145</v>
      </c>
      <c r="D1020" t="s">
        <v>146</v>
      </c>
      <c r="E1020">
        <v>39</v>
      </c>
      <c r="F1020">
        <v>761</v>
      </c>
      <c r="G1020" t="s">
        <v>147</v>
      </c>
      <c r="H1020">
        <v>5280975</v>
      </c>
      <c r="I1020">
        <v>5280975</v>
      </c>
      <c r="J1020" t="s">
        <v>249</v>
      </c>
      <c r="K1020" t="s">
        <v>249</v>
      </c>
      <c r="L1020">
        <v>0.4</v>
      </c>
      <c r="M1020" t="s">
        <v>149</v>
      </c>
      <c r="N1020">
        <v>2</v>
      </c>
      <c r="O1020">
        <v>8.3000000000000007</v>
      </c>
      <c r="P1020">
        <v>3</v>
      </c>
      <c r="Q1020">
        <v>0</v>
      </c>
      <c r="R1020">
        <v>0.46427687899999998</v>
      </c>
      <c r="S1020" t="s">
        <v>198</v>
      </c>
      <c r="T1020" t="b">
        <v>0</v>
      </c>
      <c r="U1020" t="s">
        <v>199</v>
      </c>
    </row>
    <row r="1021" spans="1:21">
      <c r="A1021" t="s">
        <v>1202</v>
      </c>
      <c r="B1021" s="113">
        <v>45203</v>
      </c>
      <c r="C1021" t="s">
        <v>162</v>
      </c>
      <c r="D1021" t="s">
        <v>193</v>
      </c>
      <c r="E1021">
        <v>51</v>
      </c>
      <c r="F1021">
        <v>681</v>
      </c>
      <c r="G1021" t="s">
        <v>169</v>
      </c>
      <c r="H1021">
        <v>15796.45097</v>
      </c>
      <c r="I1021">
        <v>15796.45097</v>
      </c>
      <c r="J1021" t="s">
        <v>148</v>
      </c>
      <c r="K1021" t="s">
        <v>148</v>
      </c>
      <c r="L1021">
        <v>1.1000000000000001</v>
      </c>
      <c r="M1021" t="s">
        <v>149</v>
      </c>
      <c r="N1021">
        <v>1</v>
      </c>
      <c r="O1021">
        <v>10.3</v>
      </c>
      <c r="P1021">
        <v>3</v>
      </c>
      <c r="Q1021">
        <v>1250</v>
      </c>
      <c r="R1021">
        <v>0.31724024099999998</v>
      </c>
      <c r="S1021" t="s">
        <v>198</v>
      </c>
      <c r="U1021" t="s">
        <v>199</v>
      </c>
    </row>
    <row r="1022" spans="1:21">
      <c r="A1022" t="s">
        <v>1203</v>
      </c>
      <c r="B1022" s="113">
        <v>45207</v>
      </c>
      <c r="C1022" t="s">
        <v>145</v>
      </c>
      <c r="D1022" t="s">
        <v>280</v>
      </c>
      <c r="E1022">
        <v>63</v>
      </c>
      <c r="F1022">
        <v>642</v>
      </c>
      <c r="G1022" t="s">
        <v>169</v>
      </c>
      <c r="H1022">
        <v>96500.13132</v>
      </c>
      <c r="I1022">
        <v>96500.13132</v>
      </c>
      <c r="J1022" t="s">
        <v>148</v>
      </c>
      <c r="K1022" t="s">
        <v>148</v>
      </c>
      <c r="L1022">
        <v>1.9</v>
      </c>
      <c r="M1022" t="s">
        <v>149</v>
      </c>
      <c r="N1022">
        <v>1</v>
      </c>
      <c r="O1022">
        <v>0.6</v>
      </c>
      <c r="P1022">
        <v>4</v>
      </c>
      <c r="Q1022">
        <v>900</v>
      </c>
      <c r="R1022">
        <v>0.162099564</v>
      </c>
      <c r="S1022" t="s">
        <v>150</v>
      </c>
      <c r="T1022" t="b">
        <v>1</v>
      </c>
      <c r="U1022" t="s">
        <v>152</v>
      </c>
    </row>
    <row r="1023" spans="1:21">
      <c r="A1023" t="s">
        <v>1204</v>
      </c>
      <c r="B1023" s="113">
        <v>45207</v>
      </c>
      <c r="C1023" t="s">
        <v>159</v>
      </c>
      <c r="D1023" t="s">
        <v>165</v>
      </c>
      <c r="E1023">
        <v>63</v>
      </c>
      <c r="F1023">
        <v>797</v>
      </c>
      <c r="G1023" t="s">
        <v>169</v>
      </c>
      <c r="H1023">
        <v>61715.731090000001</v>
      </c>
      <c r="J1023" t="s">
        <v>249</v>
      </c>
      <c r="K1023" t="s">
        <v>249</v>
      </c>
      <c r="L1023">
        <v>2</v>
      </c>
      <c r="M1023" t="s">
        <v>149</v>
      </c>
      <c r="N1023">
        <v>1</v>
      </c>
      <c r="O1023">
        <v>2.5</v>
      </c>
      <c r="P1023">
        <v>3</v>
      </c>
      <c r="Q1023">
        <v>1550</v>
      </c>
      <c r="R1023">
        <v>2.817983E-3</v>
      </c>
      <c r="S1023" t="s">
        <v>150</v>
      </c>
      <c r="T1023" t="b">
        <v>0</v>
      </c>
      <c r="U1023" t="s">
        <v>1019</v>
      </c>
    </row>
    <row r="1024" spans="1:21">
      <c r="A1024" t="s">
        <v>1205</v>
      </c>
      <c r="B1024" s="113">
        <v>45208</v>
      </c>
      <c r="C1024" t="s">
        <v>159</v>
      </c>
      <c r="D1024" t="s">
        <v>165</v>
      </c>
      <c r="E1024">
        <v>42</v>
      </c>
      <c r="F1024">
        <v>488</v>
      </c>
      <c r="G1024" t="s">
        <v>169</v>
      </c>
      <c r="H1024">
        <v>48507.730439999999</v>
      </c>
      <c r="I1024">
        <v>48507.730439999999</v>
      </c>
      <c r="J1024" t="s">
        <v>156</v>
      </c>
      <c r="K1024" t="s">
        <v>156</v>
      </c>
      <c r="L1024">
        <v>1.7</v>
      </c>
      <c r="M1024" t="s">
        <v>149</v>
      </c>
      <c r="N1024">
        <v>4</v>
      </c>
      <c r="O1024">
        <v>3.2</v>
      </c>
      <c r="P1024">
        <v>4</v>
      </c>
      <c r="Q1024">
        <v>1900</v>
      </c>
      <c r="R1024">
        <v>0.15653558400000001</v>
      </c>
      <c r="S1024" t="s">
        <v>150</v>
      </c>
      <c r="T1024" t="b">
        <v>1</v>
      </c>
      <c r="U1024" t="s">
        <v>152</v>
      </c>
    </row>
    <row r="1025" spans="1:25">
      <c r="A1025" t="s">
        <v>1206</v>
      </c>
      <c r="B1025" s="113">
        <v>45212</v>
      </c>
      <c r="C1025" t="s">
        <v>159</v>
      </c>
      <c r="D1025" t="s">
        <v>197</v>
      </c>
      <c r="E1025">
        <v>40</v>
      </c>
      <c r="F1025">
        <v>740</v>
      </c>
      <c r="G1025" t="s">
        <v>147</v>
      </c>
      <c r="H1025">
        <v>46681.521509999999</v>
      </c>
      <c r="I1025">
        <v>46681.521509999999</v>
      </c>
      <c r="J1025" t="s">
        <v>148</v>
      </c>
      <c r="K1025" t="s">
        <v>148</v>
      </c>
      <c r="L1025">
        <v>3.1</v>
      </c>
      <c r="M1025" t="s">
        <v>149</v>
      </c>
      <c r="N1025">
        <v>2</v>
      </c>
      <c r="O1025">
        <v>8.3000000000000007</v>
      </c>
      <c r="P1025">
        <v>3</v>
      </c>
      <c r="Q1025">
        <v>900</v>
      </c>
      <c r="R1025">
        <v>0.31189038200000002</v>
      </c>
      <c r="S1025" t="s">
        <v>150</v>
      </c>
      <c r="T1025" t="b">
        <v>1</v>
      </c>
      <c r="U1025" t="s">
        <v>152</v>
      </c>
    </row>
    <row r="1026" spans="1:25">
      <c r="A1026" t="s">
        <v>1207</v>
      </c>
      <c r="B1026" s="113">
        <v>45213</v>
      </c>
      <c r="C1026" t="s">
        <v>159</v>
      </c>
      <c r="D1026" t="s">
        <v>168</v>
      </c>
      <c r="E1026">
        <v>44</v>
      </c>
      <c r="F1026">
        <v>753</v>
      </c>
      <c r="G1026" t="s">
        <v>169</v>
      </c>
      <c r="H1026">
        <v>56119.918700000002</v>
      </c>
      <c r="I1026">
        <v>56119.918700000002</v>
      </c>
      <c r="J1026" t="s">
        <v>156</v>
      </c>
      <c r="K1026" t="s">
        <v>156</v>
      </c>
      <c r="L1026">
        <v>4.5</v>
      </c>
      <c r="M1026" t="s">
        <v>149</v>
      </c>
      <c r="N1026">
        <v>4</v>
      </c>
      <c r="O1026">
        <v>1.3</v>
      </c>
      <c r="P1026">
        <v>2</v>
      </c>
      <c r="Q1026">
        <v>1400</v>
      </c>
      <c r="R1026">
        <v>0.45927780499999998</v>
      </c>
      <c r="S1026" t="s">
        <v>150</v>
      </c>
      <c r="T1026" t="b">
        <v>1</v>
      </c>
      <c r="U1026" t="s">
        <v>152</v>
      </c>
    </row>
    <row r="1027" spans="1:25">
      <c r="A1027" t="s">
        <v>1208</v>
      </c>
      <c r="B1027" s="113">
        <v>45214</v>
      </c>
      <c r="C1027" t="s">
        <v>145</v>
      </c>
      <c r="D1027" t="s">
        <v>280</v>
      </c>
      <c r="E1027">
        <v>55</v>
      </c>
      <c r="F1027">
        <v>765</v>
      </c>
      <c r="G1027" t="s">
        <v>147</v>
      </c>
      <c r="H1027">
        <v>111899.27959999999</v>
      </c>
      <c r="J1027" t="s">
        <v>183</v>
      </c>
      <c r="K1027" t="s">
        <v>166</v>
      </c>
      <c r="L1027">
        <v>4.8</v>
      </c>
      <c r="M1027" t="s">
        <v>149</v>
      </c>
      <c r="N1027">
        <v>2</v>
      </c>
      <c r="O1027">
        <v>5.6</v>
      </c>
      <c r="P1027">
        <v>2</v>
      </c>
      <c r="Q1027">
        <v>1300</v>
      </c>
      <c r="R1027">
        <v>0.594932778</v>
      </c>
      <c r="S1027" t="s">
        <v>150</v>
      </c>
      <c r="T1027" t="b">
        <v>0</v>
      </c>
      <c r="U1027" t="s">
        <v>1019</v>
      </c>
    </row>
    <row r="1028" spans="1:25">
      <c r="A1028" t="s">
        <v>1209</v>
      </c>
      <c r="B1028" s="113">
        <v>45217</v>
      </c>
      <c r="C1028" t="s">
        <v>159</v>
      </c>
      <c r="D1028" t="s">
        <v>160</v>
      </c>
      <c r="E1028">
        <v>38</v>
      </c>
      <c r="F1028">
        <v>547</v>
      </c>
      <c r="G1028" t="s">
        <v>169</v>
      </c>
      <c r="H1028">
        <v>37371.004999999997</v>
      </c>
      <c r="I1028">
        <v>37371.004999999997</v>
      </c>
      <c r="J1028" t="s">
        <v>148</v>
      </c>
      <c r="K1028" t="s">
        <v>166</v>
      </c>
      <c r="L1028">
        <v>0.8</v>
      </c>
      <c r="M1028" t="s">
        <v>149</v>
      </c>
      <c r="N1028">
        <v>3</v>
      </c>
      <c r="O1028">
        <v>1</v>
      </c>
      <c r="P1028">
        <v>3</v>
      </c>
      <c r="Q1028">
        <v>900</v>
      </c>
      <c r="R1028">
        <v>0.71538993500000003</v>
      </c>
      <c r="S1028" t="s">
        <v>150</v>
      </c>
      <c r="T1028" t="b">
        <v>0</v>
      </c>
      <c r="U1028" t="s">
        <v>1019</v>
      </c>
    </row>
    <row r="1029" spans="1:25">
      <c r="A1029" t="s">
        <v>1210</v>
      </c>
      <c r="B1029" s="113">
        <v>45220</v>
      </c>
      <c r="C1029" t="s">
        <v>162</v>
      </c>
      <c r="D1029" t="s">
        <v>190</v>
      </c>
      <c r="E1029">
        <v>33</v>
      </c>
      <c r="F1029">
        <v>824</v>
      </c>
      <c r="G1029" t="s">
        <v>176</v>
      </c>
      <c r="H1029">
        <v>16392.058420000001</v>
      </c>
      <c r="I1029">
        <v>16392.058420000001</v>
      </c>
      <c r="J1029" t="s">
        <v>148</v>
      </c>
      <c r="K1029" t="s">
        <v>148</v>
      </c>
      <c r="L1029">
        <v>1.2</v>
      </c>
      <c r="M1029" t="s">
        <v>149</v>
      </c>
      <c r="N1029">
        <v>0</v>
      </c>
      <c r="O1029">
        <v>0.1</v>
      </c>
      <c r="P1029">
        <v>2</v>
      </c>
      <c r="Q1029">
        <v>1550</v>
      </c>
      <c r="R1029">
        <v>0.81757214600000006</v>
      </c>
      <c r="S1029" t="s">
        <v>198</v>
      </c>
      <c r="U1029" t="s">
        <v>199</v>
      </c>
    </row>
    <row r="1030" spans="1:25">
      <c r="A1030" t="s">
        <v>1211</v>
      </c>
      <c r="B1030" s="113">
        <v>45220</v>
      </c>
      <c r="C1030" t="s">
        <v>159</v>
      </c>
      <c r="D1030" t="s">
        <v>160</v>
      </c>
      <c r="E1030">
        <v>37</v>
      </c>
      <c r="F1030">
        <v>658</v>
      </c>
      <c r="G1030" t="s">
        <v>169</v>
      </c>
      <c r="H1030">
        <v>65317.911740000003</v>
      </c>
      <c r="I1030">
        <v>65317.911740000003</v>
      </c>
      <c r="J1030" t="s">
        <v>148</v>
      </c>
      <c r="K1030" t="s">
        <v>148</v>
      </c>
      <c r="L1030">
        <v>1.3</v>
      </c>
      <c r="M1030" t="s">
        <v>149</v>
      </c>
      <c r="N1030">
        <v>2</v>
      </c>
      <c r="O1030">
        <v>5</v>
      </c>
      <c r="P1030">
        <v>2</v>
      </c>
      <c r="Q1030">
        <v>900</v>
      </c>
      <c r="R1030">
        <v>0.89886912299999999</v>
      </c>
      <c r="S1030" t="s">
        <v>150</v>
      </c>
      <c r="T1030" t="b">
        <v>0</v>
      </c>
      <c r="U1030" t="s">
        <v>1019</v>
      </c>
    </row>
    <row r="1031" spans="1:25">
      <c r="A1031" t="s">
        <v>1212</v>
      </c>
      <c r="B1031" s="113">
        <v>45221</v>
      </c>
      <c r="C1031" t="s">
        <v>162</v>
      </c>
      <c r="D1031" t="s">
        <v>193</v>
      </c>
      <c r="E1031">
        <v>30</v>
      </c>
      <c r="F1031">
        <v>598</v>
      </c>
      <c r="G1031" t="s">
        <v>176</v>
      </c>
      <c r="H1031">
        <v>8753.1326439999993</v>
      </c>
      <c r="I1031">
        <v>8753.1326439999993</v>
      </c>
      <c r="J1031" t="s">
        <v>148</v>
      </c>
      <c r="K1031" t="s">
        <v>148</v>
      </c>
      <c r="L1031">
        <v>3.8</v>
      </c>
      <c r="M1031" t="s">
        <v>149</v>
      </c>
      <c r="N1031">
        <v>6</v>
      </c>
      <c r="O1031">
        <v>3.7</v>
      </c>
      <c r="P1031">
        <v>3</v>
      </c>
      <c r="Q1031">
        <v>1450</v>
      </c>
      <c r="R1031">
        <v>0.95720409799999995</v>
      </c>
      <c r="S1031" t="s">
        <v>198</v>
      </c>
      <c r="U1031" t="s">
        <v>199</v>
      </c>
    </row>
    <row r="1032" spans="1:25">
      <c r="A1032" t="s">
        <v>1212</v>
      </c>
      <c r="B1032" s="113">
        <v>45221</v>
      </c>
      <c r="C1032" t="s">
        <v>162</v>
      </c>
      <c r="D1032" t="s">
        <v>193</v>
      </c>
      <c r="E1032">
        <v>30</v>
      </c>
      <c r="F1032">
        <v>598</v>
      </c>
      <c r="G1032" t="s">
        <v>176</v>
      </c>
      <c r="H1032">
        <v>8753.1326439999993</v>
      </c>
      <c r="I1032">
        <v>8753.1326439999993</v>
      </c>
      <c r="J1032" t="s">
        <v>148</v>
      </c>
      <c r="K1032" t="s">
        <v>148</v>
      </c>
      <c r="L1032">
        <v>3.8</v>
      </c>
      <c r="M1032" t="s">
        <v>149</v>
      </c>
      <c r="N1032">
        <v>6</v>
      </c>
      <c r="O1032">
        <v>3.7</v>
      </c>
      <c r="P1032">
        <v>3</v>
      </c>
      <c r="Q1032">
        <v>1450</v>
      </c>
      <c r="R1032">
        <v>0.99108688</v>
      </c>
      <c r="S1032" t="s">
        <v>198</v>
      </c>
      <c r="U1032" t="s">
        <v>199</v>
      </c>
    </row>
    <row r="1033" spans="1:25">
      <c r="A1033" t="s">
        <v>1213</v>
      </c>
      <c r="B1033" s="113">
        <v>45222</v>
      </c>
      <c r="C1033" t="s">
        <v>159</v>
      </c>
      <c r="D1033" t="s">
        <v>168</v>
      </c>
      <c r="E1033">
        <v>40</v>
      </c>
      <c r="F1033">
        <v>758</v>
      </c>
      <c r="G1033" t="s">
        <v>147</v>
      </c>
      <c r="H1033">
        <v>37320.070939999998</v>
      </c>
      <c r="I1033">
        <v>37320.070939999998</v>
      </c>
      <c r="J1033" t="s">
        <v>148</v>
      </c>
      <c r="K1033" t="s">
        <v>148</v>
      </c>
      <c r="L1033">
        <v>0</v>
      </c>
      <c r="M1033" t="s">
        <v>149</v>
      </c>
      <c r="N1033">
        <v>1</v>
      </c>
      <c r="O1033">
        <v>9.5</v>
      </c>
      <c r="P1033">
        <v>4</v>
      </c>
      <c r="Q1033">
        <v>1250</v>
      </c>
      <c r="R1033">
        <v>0.99965191799999997</v>
      </c>
      <c r="S1033" t="s">
        <v>150</v>
      </c>
      <c r="T1033" t="b">
        <v>0</v>
      </c>
      <c r="U1033" t="s">
        <v>1019</v>
      </c>
    </row>
    <row r="1034" spans="1:25">
      <c r="A1034" t="s">
        <v>1214</v>
      </c>
      <c r="B1034" s="113">
        <v>45223</v>
      </c>
      <c r="C1034" t="s">
        <v>159</v>
      </c>
      <c r="D1034" t="s">
        <v>168</v>
      </c>
      <c r="E1034">
        <v>38</v>
      </c>
      <c r="F1034">
        <v>701</v>
      </c>
      <c r="G1034" t="s">
        <v>147</v>
      </c>
      <c r="H1034">
        <v>26986.753280000001</v>
      </c>
      <c r="J1034" t="s">
        <v>148</v>
      </c>
      <c r="K1034" t="s">
        <v>148</v>
      </c>
      <c r="L1034">
        <v>11.7</v>
      </c>
      <c r="M1034" t="s">
        <v>149</v>
      </c>
      <c r="N1034">
        <v>3</v>
      </c>
      <c r="O1034">
        <v>6.1</v>
      </c>
      <c r="P1034">
        <v>3</v>
      </c>
      <c r="Q1034">
        <v>1600</v>
      </c>
      <c r="R1034">
        <v>0.98268041500000003</v>
      </c>
      <c r="S1034" t="s">
        <v>150</v>
      </c>
      <c r="T1034">
        <v>11</v>
      </c>
      <c r="U1034">
        <v>1</v>
      </c>
      <c r="V1034">
        <v>11</v>
      </c>
      <c r="W1034">
        <v>0</v>
      </c>
      <c r="X1034" t="s">
        <v>151</v>
      </c>
      <c r="Y1034" t="s">
        <v>152</v>
      </c>
    </row>
    <row r="1035" spans="1:25">
      <c r="A1035" t="s">
        <v>1215</v>
      </c>
      <c r="B1035" s="113">
        <v>45224</v>
      </c>
      <c r="C1035" t="s">
        <v>162</v>
      </c>
      <c r="D1035" t="s">
        <v>163</v>
      </c>
      <c r="E1035">
        <v>30</v>
      </c>
      <c r="F1035">
        <v>665</v>
      </c>
      <c r="G1035" t="s">
        <v>169</v>
      </c>
      <c r="H1035">
        <v>64181.151380000003</v>
      </c>
      <c r="I1035">
        <v>64181.151380000003</v>
      </c>
      <c r="J1035" t="s">
        <v>148</v>
      </c>
      <c r="K1035" t="s">
        <v>148</v>
      </c>
      <c r="L1035">
        <v>2.1</v>
      </c>
      <c r="M1035" t="s">
        <v>149</v>
      </c>
      <c r="N1035">
        <v>1</v>
      </c>
      <c r="O1035">
        <v>4.4000000000000004</v>
      </c>
      <c r="P1035">
        <v>2</v>
      </c>
      <c r="Q1035">
        <v>1000</v>
      </c>
      <c r="R1035">
        <v>0.94060591500000001</v>
      </c>
      <c r="S1035" t="s">
        <v>150</v>
      </c>
      <c r="T1035">
        <v>12</v>
      </c>
      <c r="U1035">
        <v>2</v>
      </c>
      <c r="V1035">
        <v>12</v>
      </c>
      <c r="W1035">
        <v>0</v>
      </c>
      <c r="X1035" t="s">
        <v>149</v>
      </c>
      <c r="Y1035" t="s">
        <v>1019</v>
      </c>
    </row>
    <row r="1036" spans="1:25">
      <c r="A1036" t="s">
        <v>1216</v>
      </c>
      <c r="B1036" s="113">
        <v>45226</v>
      </c>
      <c r="C1036" t="s">
        <v>162</v>
      </c>
      <c r="D1036" t="s">
        <v>190</v>
      </c>
      <c r="E1036">
        <v>56</v>
      </c>
      <c r="F1036">
        <v>780</v>
      </c>
      <c r="G1036" t="s">
        <v>147</v>
      </c>
      <c r="H1036">
        <v>51672.022790000003</v>
      </c>
      <c r="J1036" t="s">
        <v>148</v>
      </c>
      <c r="K1036" t="s">
        <v>148</v>
      </c>
      <c r="L1036">
        <v>0.6</v>
      </c>
      <c r="M1036" t="s">
        <v>149</v>
      </c>
      <c r="N1036">
        <v>3</v>
      </c>
      <c r="O1036">
        <v>9</v>
      </c>
      <c r="P1036">
        <v>2</v>
      </c>
      <c r="Q1036">
        <v>1450</v>
      </c>
      <c r="R1036">
        <v>0.87450322899999999</v>
      </c>
      <c r="S1036" t="s">
        <v>150</v>
      </c>
      <c r="T1036">
        <v>7</v>
      </c>
      <c r="U1036">
        <v>0</v>
      </c>
      <c r="V1036">
        <v>7</v>
      </c>
      <c r="W1036">
        <v>0</v>
      </c>
      <c r="X1036" t="s">
        <v>151</v>
      </c>
      <c r="Y1036" t="s">
        <v>152</v>
      </c>
    </row>
    <row r="1037" spans="1:25">
      <c r="A1037" t="s">
        <v>1217</v>
      </c>
      <c r="B1037" s="113">
        <v>45226</v>
      </c>
      <c r="C1037" t="s">
        <v>162</v>
      </c>
      <c r="D1037" t="s">
        <v>187</v>
      </c>
      <c r="E1037">
        <v>58</v>
      </c>
      <c r="F1037">
        <v>708</v>
      </c>
      <c r="G1037" t="s">
        <v>155</v>
      </c>
      <c r="H1037">
        <v>37540.863799999999</v>
      </c>
      <c r="I1037">
        <v>37540.863799999999</v>
      </c>
      <c r="J1037" t="s">
        <v>148</v>
      </c>
      <c r="K1037" t="s">
        <v>148</v>
      </c>
      <c r="L1037">
        <v>5</v>
      </c>
      <c r="M1037" t="s">
        <v>149</v>
      </c>
      <c r="N1037">
        <v>3</v>
      </c>
      <c r="O1037">
        <v>2.8</v>
      </c>
      <c r="P1037">
        <v>4</v>
      </c>
      <c r="Q1037">
        <v>1100</v>
      </c>
      <c r="R1037">
        <v>0.78606097900000005</v>
      </c>
      <c r="S1037" t="s">
        <v>150</v>
      </c>
      <c r="T1037">
        <v>12</v>
      </c>
      <c r="U1037">
        <v>0</v>
      </c>
      <c r="V1037">
        <v>12</v>
      </c>
      <c r="W1037">
        <v>1</v>
      </c>
      <c r="X1037" t="s">
        <v>149</v>
      </c>
      <c r="Y1037" t="s">
        <v>1019</v>
      </c>
    </row>
    <row r="1038" spans="1:25">
      <c r="A1038" t="s">
        <v>1218</v>
      </c>
      <c r="B1038" s="113">
        <v>45226</v>
      </c>
      <c r="C1038" t="s">
        <v>159</v>
      </c>
      <c r="D1038" t="s">
        <v>160</v>
      </c>
      <c r="E1038">
        <v>60</v>
      </c>
      <c r="F1038">
        <v>688</v>
      </c>
      <c r="G1038" t="s">
        <v>147</v>
      </c>
      <c r="H1038">
        <v>59619.830719999998</v>
      </c>
      <c r="I1038">
        <v>59619.830719999998</v>
      </c>
      <c r="J1038" t="s">
        <v>148</v>
      </c>
      <c r="K1038" t="s">
        <v>148</v>
      </c>
      <c r="L1038">
        <v>5.3</v>
      </c>
      <c r="M1038" t="s">
        <v>149</v>
      </c>
      <c r="N1038">
        <v>0</v>
      </c>
      <c r="O1038">
        <v>5</v>
      </c>
      <c r="P1038">
        <v>2</v>
      </c>
      <c r="Q1038">
        <v>1300</v>
      </c>
      <c r="R1038">
        <v>0.67753846200000001</v>
      </c>
      <c r="S1038" t="s">
        <v>150</v>
      </c>
      <c r="T1038">
        <v>12</v>
      </c>
      <c r="U1038">
        <v>1</v>
      </c>
      <c r="V1038">
        <v>12</v>
      </c>
      <c r="W1038">
        <v>0</v>
      </c>
      <c r="X1038" t="s">
        <v>149</v>
      </c>
      <c r="Y1038" t="s">
        <v>1019</v>
      </c>
    </row>
    <row r="1039" spans="1:25">
      <c r="A1039" t="s">
        <v>1219</v>
      </c>
      <c r="B1039" s="113">
        <v>45227</v>
      </c>
      <c r="C1039" t="s">
        <v>162</v>
      </c>
      <c r="D1039" t="s">
        <v>190</v>
      </c>
      <c r="E1039">
        <v>37</v>
      </c>
      <c r="F1039">
        <v>656</v>
      </c>
      <c r="G1039" t="s">
        <v>147</v>
      </c>
      <c r="H1039">
        <v>10553.418809999999</v>
      </c>
      <c r="I1039">
        <v>10553.418809999999</v>
      </c>
      <c r="J1039" t="s">
        <v>156</v>
      </c>
      <c r="K1039" t="s">
        <v>156</v>
      </c>
      <c r="L1039">
        <v>1.5</v>
      </c>
      <c r="M1039" t="s">
        <v>149</v>
      </c>
      <c r="N1039">
        <v>4</v>
      </c>
      <c r="O1039">
        <v>3.5</v>
      </c>
      <c r="P1039">
        <v>3</v>
      </c>
      <c r="Q1039">
        <v>1350</v>
      </c>
      <c r="R1039">
        <v>0.55170792999999996</v>
      </c>
      <c r="S1039" t="s">
        <v>198</v>
      </c>
      <c r="Y1039" t="s">
        <v>199</v>
      </c>
    </row>
    <row r="1040" spans="1:25">
      <c r="A1040" t="s">
        <v>1220</v>
      </c>
      <c r="B1040" s="113">
        <v>45228</v>
      </c>
      <c r="C1040" t="s">
        <v>162</v>
      </c>
      <c r="D1040" t="s">
        <v>190</v>
      </c>
      <c r="E1040">
        <v>55</v>
      </c>
      <c r="F1040">
        <v>800</v>
      </c>
      <c r="G1040" t="s">
        <v>155</v>
      </c>
      <c r="H1040">
        <v>49730.733050000003</v>
      </c>
      <c r="I1040">
        <v>49730.733050000003</v>
      </c>
      <c r="J1040" t="s">
        <v>148</v>
      </c>
      <c r="K1040" t="s">
        <v>148</v>
      </c>
      <c r="L1040">
        <v>7</v>
      </c>
      <c r="M1040" t="s">
        <v>149</v>
      </c>
      <c r="N1040">
        <v>1</v>
      </c>
      <c r="O1040">
        <v>5.4</v>
      </c>
      <c r="P1040">
        <v>3</v>
      </c>
      <c r="Q1040">
        <v>800</v>
      </c>
      <c r="R1040">
        <v>0.41178378100000002</v>
      </c>
      <c r="S1040" t="s">
        <v>150</v>
      </c>
      <c r="T1040">
        <v>12</v>
      </c>
      <c r="U1040">
        <v>0</v>
      </c>
      <c r="V1040">
        <v>12</v>
      </c>
      <c r="W1040">
        <v>0</v>
      </c>
      <c r="X1040" t="s">
        <v>149</v>
      </c>
      <c r="Y1040" t="s">
        <v>1019</v>
      </c>
    </row>
    <row r="1041" spans="1:25">
      <c r="A1041" t="s">
        <v>1221</v>
      </c>
      <c r="B1041" s="113">
        <v>45229</v>
      </c>
      <c r="C1041" t="s">
        <v>145</v>
      </c>
      <c r="D1041" t="s">
        <v>172</v>
      </c>
      <c r="E1041">
        <v>58</v>
      </c>
      <c r="F1041">
        <v>691</v>
      </c>
      <c r="G1041" t="s">
        <v>176</v>
      </c>
      <c r="H1041">
        <v>38947.538719999997</v>
      </c>
      <c r="J1041" t="s">
        <v>148</v>
      </c>
      <c r="K1041" t="s">
        <v>148</v>
      </c>
      <c r="L1041">
        <v>6.9</v>
      </c>
      <c r="M1041" t="s">
        <v>149</v>
      </c>
      <c r="N1041">
        <v>1</v>
      </c>
      <c r="O1041">
        <v>5.5</v>
      </c>
      <c r="P1041">
        <v>2</v>
      </c>
      <c r="Q1041">
        <v>950</v>
      </c>
      <c r="R1041">
        <v>0.26134043600000001</v>
      </c>
      <c r="S1041" t="s">
        <v>150</v>
      </c>
      <c r="T1041">
        <v>12</v>
      </c>
      <c r="U1041">
        <v>0</v>
      </c>
      <c r="V1041">
        <v>12</v>
      </c>
      <c r="W1041">
        <v>0</v>
      </c>
      <c r="X1041" t="s">
        <v>149</v>
      </c>
      <c r="Y1041" t="s">
        <v>1019</v>
      </c>
    </row>
    <row r="1042" spans="1:25">
      <c r="A1042" t="s">
        <v>1222</v>
      </c>
      <c r="B1042" s="113">
        <v>45230</v>
      </c>
      <c r="C1042" t="s">
        <v>159</v>
      </c>
      <c r="D1042" t="s">
        <v>197</v>
      </c>
      <c r="E1042">
        <v>34</v>
      </c>
      <c r="F1042">
        <v>670</v>
      </c>
      <c r="G1042" t="s">
        <v>176</v>
      </c>
      <c r="H1042">
        <v>22304.546030000001</v>
      </c>
      <c r="I1042">
        <v>22304.546030000001</v>
      </c>
      <c r="J1042" t="s">
        <v>181</v>
      </c>
      <c r="K1042" t="s">
        <v>181</v>
      </c>
      <c r="L1042">
        <v>4.5999999999999996</v>
      </c>
      <c r="M1042" t="s">
        <v>149</v>
      </c>
      <c r="N1042">
        <v>4</v>
      </c>
      <c r="O1042">
        <v>1.3</v>
      </c>
      <c r="P1042">
        <v>3</v>
      </c>
      <c r="Q1042">
        <v>1300</v>
      </c>
      <c r="R1042">
        <v>0.104221037</v>
      </c>
      <c r="S1042" t="s">
        <v>150</v>
      </c>
      <c r="T1042">
        <v>12</v>
      </c>
      <c r="U1042">
        <v>0</v>
      </c>
      <c r="V1042">
        <v>12</v>
      </c>
      <c r="W1042">
        <v>0</v>
      </c>
      <c r="X1042" t="s">
        <v>149</v>
      </c>
      <c r="Y1042" t="s">
        <v>1019</v>
      </c>
    </row>
    <row r="1043" spans="1:25">
      <c r="A1043" t="s">
        <v>1223</v>
      </c>
      <c r="B1043" s="113">
        <v>45231</v>
      </c>
      <c r="C1043" t="s">
        <v>145</v>
      </c>
      <c r="D1043" t="s">
        <v>213</v>
      </c>
      <c r="E1043">
        <v>25</v>
      </c>
      <c r="F1043">
        <v>698</v>
      </c>
      <c r="G1043" t="s">
        <v>176</v>
      </c>
      <c r="H1043">
        <v>21032.86058</v>
      </c>
      <c r="I1043">
        <v>21032.86058</v>
      </c>
      <c r="J1043" t="s">
        <v>156</v>
      </c>
      <c r="K1043" t="s">
        <v>166</v>
      </c>
      <c r="L1043">
        <v>6.7</v>
      </c>
      <c r="M1043" t="s">
        <v>149</v>
      </c>
      <c r="N1043">
        <v>3</v>
      </c>
      <c r="O1043">
        <v>7</v>
      </c>
      <c r="P1043">
        <v>2</v>
      </c>
      <c r="Q1043">
        <v>1200</v>
      </c>
      <c r="R1043">
        <v>5.5560734000000001E-2</v>
      </c>
      <c r="S1043" t="s">
        <v>150</v>
      </c>
      <c r="T1043">
        <v>12</v>
      </c>
      <c r="U1043">
        <v>0</v>
      </c>
      <c r="V1043">
        <v>12</v>
      </c>
      <c r="W1043">
        <v>0</v>
      </c>
      <c r="X1043" t="s">
        <v>149</v>
      </c>
      <c r="Y1043" t="s">
        <v>1019</v>
      </c>
    </row>
    <row r="1044" spans="1:25">
      <c r="A1044" t="s">
        <v>1224</v>
      </c>
      <c r="B1044" s="113">
        <v>45232</v>
      </c>
      <c r="C1044" t="s">
        <v>159</v>
      </c>
      <c r="D1044" t="s">
        <v>160</v>
      </c>
      <c r="E1044">
        <v>61</v>
      </c>
      <c r="F1044">
        <v>776</v>
      </c>
      <c r="G1044" t="s">
        <v>155</v>
      </c>
      <c r="H1044">
        <v>30018.575779999999</v>
      </c>
      <c r="I1044">
        <v>30018.575779999999</v>
      </c>
      <c r="J1044" t="s">
        <v>148</v>
      </c>
      <c r="K1044" t="s">
        <v>148</v>
      </c>
      <c r="L1044">
        <v>3.3</v>
      </c>
      <c r="M1044" t="s">
        <v>149</v>
      </c>
      <c r="N1044">
        <v>6</v>
      </c>
      <c r="O1044">
        <v>2.2999999999999998</v>
      </c>
      <c r="P1044">
        <v>1</v>
      </c>
      <c r="Q1044">
        <v>1250</v>
      </c>
      <c r="R1044">
        <v>0.21392318199999999</v>
      </c>
      <c r="S1044" t="s">
        <v>198</v>
      </c>
      <c r="Y1044" t="s">
        <v>199</v>
      </c>
    </row>
    <row r="1045" spans="1:25">
      <c r="A1045" t="s">
        <v>1225</v>
      </c>
      <c r="B1045" s="113">
        <v>45234</v>
      </c>
      <c r="C1045" t="s">
        <v>145</v>
      </c>
      <c r="D1045" t="s">
        <v>280</v>
      </c>
      <c r="E1045">
        <v>26</v>
      </c>
      <c r="F1045">
        <v>582</v>
      </c>
      <c r="G1045" t="s">
        <v>169</v>
      </c>
      <c r="H1045">
        <v>23163.061379999999</v>
      </c>
      <c r="I1045">
        <v>23163.061379999999</v>
      </c>
      <c r="J1045" t="s">
        <v>148</v>
      </c>
      <c r="K1045" t="s">
        <v>148</v>
      </c>
      <c r="L1045">
        <v>1.3</v>
      </c>
      <c r="M1045" t="s">
        <v>149</v>
      </c>
      <c r="N1045">
        <v>1</v>
      </c>
      <c r="O1045">
        <v>2.1</v>
      </c>
      <c r="P1045">
        <v>3</v>
      </c>
      <c r="Q1045">
        <v>1400</v>
      </c>
      <c r="R1045">
        <v>0.36682086899999999</v>
      </c>
      <c r="S1045" t="s">
        <v>198</v>
      </c>
      <c r="Y1045" t="s">
        <v>199</v>
      </c>
    </row>
    <row r="1046" spans="1:25">
      <c r="A1046" t="s">
        <v>1226</v>
      </c>
      <c r="B1046" s="113">
        <v>45235</v>
      </c>
      <c r="C1046" t="s">
        <v>162</v>
      </c>
      <c r="D1046" t="s">
        <v>190</v>
      </c>
      <c r="E1046">
        <v>31</v>
      </c>
      <c r="F1046">
        <v>782</v>
      </c>
      <c r="G1046" t="s">
        <v>176</v>
      </c>
      <c r="H1046">
        <v>30205.589639999998</v>
      </c>
      <c r="I1046">
        <v>30205.589639999998</v>
      </c>
      <c r="J1046" t="s">
        <v>148</v>
      </c>
      <c r="K1046" t="s">
        <v>148</v>
      </c>
      <c r="L1046">
        <v>0.3</v>
      </c>
      <c r="M1046" t="s">
        <v>149</v>
      </c>
      <c r="N1046">
        <v>4</v>
      </c>
      <c r="O1046">
        <v>1.6</v>
      </c>
      <c r="P1046">
        <v>4</v>
      </c>
      <c r="Q1046">
        <v>1200</v>
      </c>
      <c r="R1046">
        <v>0.51034795899999996</v>
      </c>
      <c r="S1046" t="s">
        <v>150</v>
      </c>
      <c r="T1046">
        <v>12</v>
      </c>
      <c r="U1046">
        <v>0</v>
      </c>
      <c r="V1046">
        <v>12</v>
      </c>
      <c r="W1046">
        <v>0</v>
      </c>
      <c r="X1046" t="s">
        <v>149</v>
      </c>
      <c r="Y1046" t="s">
        <v>1019</v>
      </c>
    </row>
    <row r="1047" spans="1:25">
      <c r="A1047" t="s">
        <v>1227</v>
      </c>
      <c r="B1047" s="113">
        <v>45241</v>
      </c>
      <c r="C1047" t="s">
        <v>159</v>
      </c>
      <c r="D1047" t="s">
        <v>160</v>
      </c>
      <c r="E1047">
        <v>31</v>
      </c>
      <c r="F1047">
        <v>691</v>
      </c>
      <c r="G1047" t="s">
        <v>176</v>
      </c>
      <c r="H1047">
        <v>68366.431379999995</v>
      </c>
      <c r="I1047">
        <v>68366.431379999995</v>
      </c>
      <c r="J1047" t="s">
        <v>148</v>
      </c>
      <c r="K1047" t="s">
        <v>148</v>
      </c>
      <c r="L1047">
        <v>1</v>
      </c>
      <c r="M1047" t="s">
        <v>149</v>
      </c>
      <c r="N1047">
        <v>1</v>
      </c>
      <c r="O1047">
        <v>5.4</v>
      </c>
      <c r="P1047">
        <v>2</v>
      </c>
      <c r="Q1047">
        <v>850</v>
      </c>
      <c r="R1047">
        <v>0.64083798800000003</v>
      </c>
      <c r="S1047" t="s">
        <v>150</v>
      </c>
      <c r="T1047">
        <v>11</v>
      </c>
      <c r="U1047">
        <v>0</v>
      </c>
      <c r="V1047">
        <v>11</v>
      </c>
      <c r="W1047">
        <v>0</v>
      </c>
      <c r="X1047" t="s">
        <v>149</v>
      </c>
      <c r="Y1047" t="s">
        <v>1019</v>
      </c>
    </row>
    <row r="1048" spans="1:25">
      <c r="A1048" t="s">
        <v>1228</v>
      </c>
      <c r="B1048" s="113">
        <v>45243</v>
      </c>
      <c r="C1048" t="s">
        <v>159</v>
      </c>
      <c r="D1048" t="s">
        <v>168</v>
      </c>
      <c r="E1048">
        <v>31</v>
      </c>
      <c r="F1048">
        <v>727</v>
      </c>
      <c r="G1048" t="s">
        <v>176</v>
      </c>
      <c r="H1048">
        <v>25906.11608</v>
      </c>
      <c r="I1048">
        <v>25906.11608</v>
      </c>
      <c r="J1048" t="s">
        <v>148</v>
      </c>
      <c r="K1048" t="s">
        <v>148</v>
      </c>
      <c r="L1048">
        <v>0.8</v>
      </c>
      <c r="M1048" t="s">
        <v>149</v>
      </c>
      <c r="N1048">
        <v>0</v>
      </c>
      <c r="O1048">
        <v>4.4000000000000004</v>
      </c>
      <c r="P1048">
        <v>3</v>
      </c>
      <c r="Q1048">
        <v>1100</v>
      </c>
      <c r="R1048">
        <v>0.75495753399999999</v>
      </c>
      <c r="S1048" t="s">
        <v>198</v>
      </c>
      <c r="Y1048" t="s">
        <v>199</v>
      </c>
    </row>
    <row r="1049" spans="1:25">
      <c r="A1049" t="s">
        <v>1229</v>
      </c>
      <c r="B1049" s="113">
        <v>45245</v>
      </c>
      <c r="C1049" t="s">
        <v>162</v>
      </c>
      <c r="D1049" t="s">
        <v>193</v>
      </c>
      <c r="E1049">
        <v>44</v>
      </c>
      <c r="F1049">
        <v>779</v>
      </c>
      <c r="G1049" t="s">
        <v>155</v>
      </c>
      <c r="H1049">
        <v>41611.177960000001</v>
      </c>
      <c r="J1049" t="s">
        <v>148</v>
      </c>
      <c r="K1049" t="s">
        <v>148</v>
      </c>
      <c r="L1049">
        <v>1.7</v>
      </c>
      <c r="M1049" t="s">
        <v>149</v>
      </c>
      <c r="N1049">
        <v>3</v>
      </c>
      <c r="O1049">
        <v>4</v>
      </c>
      <c r="P1049">
        <v>3</v>
      </c>
      <c r="Q1049">
        <v>1350</v>
      </c>
      <c r="R1049">
        <v>0.84979136200000005</v>
      </c>
      <c r="S1049" t="s">
        <v>150</v>
      </c>
      <c r="T1049">
        <v>11</v>
      </c>
      <c r="U1049">
        <v>0</v>
      </c>
      <c r="V1049">
        <v>11</v>
      </c>
      <c r="W1049">
        <v>0</v>
      </c>
      <c r="X1049" t="s">
        <v>149</v>
      </c>
      <c r="Y1049" t="s">
        <v>1019</v>
      </c>
    </row>
    <row r="1050" spans="1:25">
      <c r="A1050" t="s">
        <v>1230</v>
      </c>
      <c r="B1050" s="113">
        <v>45246</v>
      </c>
      <c r="C1050" t="s">
        <v>162</v>
      </c>
      <c r="D1050" t="s">
        <v>193</v>
      </c>
      <c r="E1050">
        <v>23</v>
      </c>
      <c r="F1050">
        <v>644</v>
      </c>
      <c r="G1050" t="s">
        <v>176</v>
      </c>
      <c r="H1050">
        <v>168420.1942</v>
      </c>
      <c r="I1050">
        <v>168420.1942</v>
      </c>
      <c r="J1050" t="s">
        <v>156</v>
      </c>
      <c r="K1050" t="s">
        <v>156</v>
      </c>
      <c r="L1050">
        <v>8.1</v>
      </c>
      <c r="M1050" t="s">
        <v>149</v>
      </c>
      <c r="N1050">
        <v>0</v>
      </c>
      <c r="O1050">
        <v>0.3</v>
      </c>
      <c r="P1050">
        <v>4</v>
      </c>
      <c r="Q1050">
        <v>1350</v>
      </c>
      <c r="R1050">
        <v>0.92291690199999998</v>
      </c>
      <c r="S1050" t="s">
        <v>150</v>
      </c>
      <c r="T1050">
        <v>11</v>
      </c>
      <c r="U1050">
        <v>0</v>
      </c>
      <c r="V1050">
        <v>11</v>
      </c>
      <c r="W1050">
        <v>0</v>
      </c>
      <c r="X1050" t="s">
        <v>149</v>
      </c>
      <c r="Y1050" t="s">
        <v>1019</v>
      </c>
    </row>
    <row r="1051" spans="1:25">
      <c r="A1051" t="s">
        <v>1231</v>
      </c>
      <c r="B1051" s="113">
        <v>45249</v>
      </c>
      <c r="C1051" t="s">
        <v>159</v>
      </c>
      <c r="D1051" t="s">
        <v>160</v>
      </c>
      <c r="E1051">
        <v>55</v>
      </c>
      <c r="F1051">
        <v>541</v>
      </c>
      <c r="G1051" t="s">
        <v>176</v>
      </c>
      <c r="H1051">
        <v>171293.97560000001</v>
      </c>
      <c r="I1051">
        <v>171293.97560000001</v>
      </c>
      <c r="J1051" t="s">
        <v>148</v>
      </c>
      <c r="K1051" t="s">
        <v>148</v>
      </c>
      <c r="L1051">
        <v>0</v>
      </c>
      <c r="M1051" t="s">
        <v>149</v>
      </c>
      <c r="N1051">
        <v>1</v>
      </c>
      <c r="O1051">
        <v>11.3</v>
      </c>
      <c r="P1051">
        <v>3</v>
      </c>
      <c r="Q1051">
        <v>800</v>
      </c>
      <c r="R1051">
        <v>0.97246613000000004</v>
      </c>
      <c r="S1051" t="s">
        <v>150</v>
      </c>
      <c r="T1051">
        <v>11</v>
      </c>
      <c r="U1051">
        <v>0</v>
      </c>
      <c r="V1051">
        <v>11</v>
      </c>
      <c r="W1051">
        <v>0</v>
      </c>
      <c r="X1051" t="s">
        <v>149</v>
      </c>
      <c r="Y1051" t="s">
        <v>1019</v>
      </c>
    </row>
    <row r="1052" spans="1:25">
      <c r="A1052" t="s">
        <v>1232</v>
      </c>
      <c r="B1052" s="113">
        <v>45250</v>
      </c>
      <c r="C1052" t="s">
        <v>162</v>
      </c>
      <c r="D1052" t="s">
        <v>193</v>
      </c>
      <c r="E1052">
        <v>46</v>
      </c>
      <c r="F1052">
        <v>575</v>
      </c>
      <c r="G1052" t="s">
        <v>169</v>
      </c>
      <c r="H1052">
        <v>66327.431979999994</v>
      </c>
      <c r="I1052">
        <v>66327.431979999994</v>
      </c>
      <c r="J1052" t="s">
        <v>148</v>
      </c>
      <c r="K1052" t="s">
        <v>166</v>
      </c>
      <c r="L1052">
        <v>8.1</v>
      </c>
      <c r="M1052" t="s">
        <v>149</v>
      </c>
      <c r="N1052">
        <v>1</v>
      </c>
      <c r="O1052">
        <v>0.1</v>
      </c>
      <c r="P1052">
        <v>2</v>
      </c>
      <c r="Q1052">
        <v>1300</v>
      </c>
      <c r="R1052">
        <v>0.99717328900000002</v>
      </c>
      <c r="S1052" t="s">
        <v>198</v>
      </c>
      <c r="Y1052" t="s">
        <v>199</v>
      </c>
    </row>
    <row r="1053" spans="1:25">
      <c r="A1053" t="s">
        <v>1233</v>
      </c>
      <c r="B1053" s="113">
        <v>45250</v>
      </c>
      <c r="C1053" t="s">
        <v>162</v>
      </c>
      <c r="D1053" t="s">
        <v>179</v>
      </c>
      <c r="E1053">
        <v>60</v>
      </c>
      <c r="F1053">
        <v>704</v>
      </c>
      <c r="G1053" t="s">
        <v>155</v>
      </c>
      <c r="H1053">
        <v>50284.542479999996</v>
      </c>
      <c r="I1053">
        <v>50284.542479999996</v>
      </c>
      <c r="J1053" t="s">
        <v>148</v>
      </c>
      <c r="K1053" t="s">
        <v>166</v>
      </c>
      <c r="L1053">
        <v>13.3</v>
      </c>
      <c r="M1053" t="s">
        <v>149</v>
      </c>
      <c r="N1053">
        <v>6</v>
      </c>
      <c r="O1053">
        <v>4.2</v>
      </c>
      <c r="P1053">
        <v>3</v>
      </c>
      <c r="Q1053">
        <v>800</v>
      </c>
      <c r="R1053">
        <v>0.99640722400000004</v>
      </c>
      <c r="S1053" t="s">
        <v>150</v>
      </c>
      <c r="T1053">
        <v>11</v>
      </c>
      <c r="U1053">
        <v>2</v>
      </c>
      <c r="V1053">
        <v>11</v>
      </c>
      <c r="W1053">
        <v>0</v>
      </c>
      <c r="X1053" t="s">
        <v>149</v>
      </c>
      <c r="Y1053" t="s">
        <v>1019</v>
      </c>
    </row>
    <row r="1054" spans="1:25">
      <c r="A1054" t="s">
        <v>1234</v>
      </c>
      <c r="B1054" s="113">
        <v>45251</v>
      </c>
      <c r="C1054" t="s">
        <v>159</v>
      </c>
      <c r="D1054" t="s">
        <v>168</v>
      </c>
      <c r="E1054">
        <v>48</v>
      </c>
      <c r="F1054">
        <v>528</v>
      </c>
      <c r="G1054" t="s">
        <v>155</v>
      </c>
      <c r="H1054">
        <v>79498.730049999998</v>
      </c>
      <c r="J1054" t="s">
        <v>148</v>
      </c>
      <c r="K1054" t="s">
        <v>148</v>
      </c>
      <c r="L1054">
        <v>10.8</v>
      </c>
      <c r="M1054" t="s">
        <v>151</v>
      </c>
      <c r="N1054">
        <v>2</v>
      </c>
      <c r="O1054">
        <v>3.2</v>
      </c>
      <c r="P1054">
        <v>1</v>
      </c>
      <c r="Q1054">
        <v>1050</v>
      </c>
      <c r="R1054">
        <v>0.97018750499999995</v>
      </c>
      <c r="S1054" t="s">
        <v>150</v>
      </c>
      <c r="T1054">
        <v>11</v>
      </c>
      <c r="U1054">
        <v>0</v>
      </c>
      <c r="V1054">
        <v>11</v>
      </c>
      <c r="W1054">
        <v>0</v>
      </c>
      <c r="X1054" t="s">
        <v>149</v>
      </c>
      <c r="Y1054" t="s">
        <v>1019</v>
      </c>
    </row>
    <row r="1055" spans="1:25">
      <c r="A1055" t="s">
        <v>1235</v>
      </c>
      <c r="B1055" s="113">
        <v>45251</v>
      </c>
      <c r="C1055" t="s">
        <v>162</v>
      </c>
      <c r="D1055" t="s">
        <v>195</v>
      </c>
      <c r="E1055">
        <v>63</v>
      </c>
      <c r="F1055">
        <v>712</v>
      </c>
      <c r="G1055" t="s">
        <v>155</v>
      </c>
      <c r="H1055">
        <v>78776.679499999998</v>
      </c>
      <c r="I1055">
        <v>78776.679499999998</v>
      </c>
      <c r="J1055" t="s">
        <v>183</v>
      </c>
      <c r="K1055" t="s">
        <v>166</v>
      </c>
      <c r="L1055">
        <v>3</v>
      </c>
      <c r="M1055" t="s">
        <v>149</v>
      </c>
      <c r="N1055">
        <v>1</v>
      </c>
      <c r="O1055">
        <v>1.5</v>
      </c>
      <c r="P1055">
        <v>4</v>
      </c>
      <c r="Q1055">
        <v>1050</v>
      </c>
      <c r="R1055">
        <v>0.91918392599999998</v>
      </c>
      <c r="S1055" t="s">
        <v>150</v>
      </c>
      <c r="T1055">
        <v>11</v>
      </c>
      <c r="U1055">
        <v>0</v>
      </c>
      <c r="V1055">
        <v>11</v>
      </c>
      <c r="W1055">
        <v>0</v>
      </c>
      <c r="X1055" t="s">
        <v>149</v>
      </c>
      <c r="Y1055" t="s">
        <v>1019</v>
      </c>
    </row>
    <row r="1056" spans="1:25">
      <c r="A1056" t="s">
        <v>1236</v>
      </c>
      <c r="B1056" s="113">
        <v>45252</v>
      </c>
      <c r="C1056" t="s">
        <v>162</v>
      </c>
      <c r="D1056" t="s">
        <v>187</v>
      </c>
      <c r="E1056">
        <v>37</v>
      </c>
      <c r="F1056">
        <v>805</v>
      </c>
      <c r="G1056" t="s">
        <v>169</v>
      </c>
      <c r="H1056">
        <v>35684.031819999997</v>
      </c>
      <c r="I1056">
        <v>35684.031819999997</v>
      </c>
      <c r="J1056" t="s">
        <v>221</v>
      </c>
      <c r="K1056" t="s">
        <v>221</v>
      </c>
      <c r="L1056">
        <v>1.9</v>
      </c>
      <c r="M1056" t="s">
        <v>149</v>
      </c>
      <c r="N1056">
        <v>4</v>
      </c>
      <c r="O1056">
        <v>0.5</v>
      </c>
      <c r="P1056">
        <v>2</v>
      </c>
      <c r="Q1056">
        <v>1750</v>
      </c>
      <c r="R1056">
        <v>0.84469939599999999</v>
      </c>
      <c r="S1056" t="s">
        <v>150</v>
      </c>
      <c r="T1056">
        <v>11</v>
      </c>
      <c r="U1056">
        <v>0</v>
      </c>
      <c r="V1056">
        <v>11</v>
      </c>
      <c r="W1056">
        <v>0</v>
      </c>
      <c r="X1056" t="s">
        <v>149</v>
      </c>
      <c r="Y1056" t="s">
        <v>1019</v>
      </c>
    </row>
    <row r="1057" spans="1:25">
      <c r="A1057" t="s">
        <v>1237</v>
      </c>
      <c r="B1057" s="113">
        <v>45252</v>
      </c>
      <c r="C1057" t="s">
        <v>162</v>
      </c>
      <c r="D1057" t="s">
        <v>195</v>
      </c>
      <c r="E1057">
        <v>44</v>
      </c>
      <c r="F1057">
        <v>758</v>
      </c>
      <c r="G1057" t="s">
        <v>155</v>
      </c>
      <c r="H1057">
        <v>74764.87917</v>
      </c>
      <c r="I1057">
        <v>74764.87917</v>
      </c>
      <c r="J1057" t="s">
        <v>148</v>
      </c>
      <c r="K1057" t="s">
        <v>148</v>
      </c>
      <c r="L1057">
        <v>3.7</v>
      </c>
      <c r="M1057" t="s">
        <v>151</v>
      </c>
      <c r="N1057">
        <v>3</v>
      </c>
      <c r="O1057">
        <v>0</v>
      </c>
      <c r="P1057">
        <v>3</v>
      </c>
      <c r="Q1057">
        <v>1350</v>
      </c>
      <c r="R1057">
        <v>0.74863665300000004</v>
      </c>
      <c r="S1057" t="s">
        <v>198</v>
      </c>
      <c r="Y1057" t="s">
        <v>199</v>
      </c>
    </row>
    <row r="1058" spans="1:25">
      <c r="A1058" t="s">
        <v>1238</v>
      </c>
      <c r="B1058" s="113">
        <v>45253</v>
      </c>
      <c r="C1058" t="s">
        <v>162</v>
      </c>
      <c r="D1058" t="s">
        <v>195</v>
      </c>
      <c r="E1058">
        <v>44</v>
      </c>
      <c r="F1058">
        <v>728</v>
      </c>
      <c r="G1058" t="s">
        <v>155</v>
      </c>
      <c r="H1058">
        <v>77826.931890000007</v>
      </c>
      <c r="J1058" t="s">
        <v>148</v>
      </c>
      <c r="K1058" t="s">
        <v>148</v>
      </c>
      <c r="L1058">
        <v>1.7</v>
      </c>
      <c r="M1058" t="s">
        <v>149</v>
      </c>
      <c r="N1058">
        <v>2</v>
      </c>
      <c r="O1058">
        <v>3.6</v>
      </c>
      <c r="P1058">
        <v>3</v>
      </c>
      <c r="Q1058">
        <v>1400</v>
      </c>
      <c r="R1058">
        <v>0.63344966300000005</v>
      </c>
      <c r="S1058" t="s">
        <v>150</v>
      </c>
      <c r="T1058">
        <v>11</v>
      </c>
      <c r="U1058">
        <v>1</v>
      </c>
      <c r="V1058">
        <v>11</v>
      </c>
      <c r="W1058">
        <v>0</v>
      </c>
      <c r="X1058" t="s">
        <v>149</v>
      </c>
      <c r="Y1058" t="s">
        <v>1019</v>
      </c>
    </row>
    <row r="1059" spans="1:25">
      <c r="A1059" t="s">
        <v>1239</v>
      </c>
      <c r="B1059" s="113">
        <v>45254</v>
      </c>
      <c r="C1059" t="s">
        <v>145</v>
      </c>
      <c r="D1059" t="s">
        <v>154</v>
      </c>
      <c r="E1059">
        <v>42</v>
      </c>
      <c r="F1059">
        <v>607</v>
      </c>
      <c r="G1059" t="s">
        <v>147</v>
      </c>
      <c r="H1059">
        <v>72412.839630000002</v>
      </c>
      <c r="I1059">
        <v>72412.839630000002</v>
      </c>
      <c r="J1059" t="s">
        <v>148</v>
      </c>
      <c r="K1059" t="s">
        <v>148</v>
      </c>
      <c r="L1059">
        <v>1.6</v>
      </c>
      <c r="M1059" t="s">
        <v>149</v>
      </c>
      <c r="N1059">
        <v>4</v>
      </c>
      <c r="O1059">
        <v>0.7</v>
      </c>
      <c r="P1059">
        <v>3</v>
      </c>
      <c r="Q1059">
        <v>800</v>
      </c>
      <c r="R1059">
        <v>0.50208092599999998</v>
      </c>
      <c r="S1059" t="s">
        <v>150</v>
      </c>
      <c r="T1059">
        <v>11</v>
      </c>
      <c r="U1059">
        <v>0</v>
      </c>
      <c r="V1059">
        <v>11</v>
      </c>
      <c r="W1059">
        <v>0</v>
      </c>
      <c r="X1059" t="s">
        <v>149</v>
      </c>
      <c r="Y1059" t="s">
        <v>1019</v>
      </c>
    </row>
    <row r="1060" spans="1:25">
      <c r="A1060" t="s">
        <v>1240</v>
      </c>
      <c r="B1060" s="113">
        <v>45259</v>
      </c>
      <c r="C1060" t="s">
        <v>162</v>
      </c>
      <c r="D1060" t="s">
        <v>163</v>
      </c>
      <c r="E1060">
        <v>33</v>
      </c>
      <c r="F1060">
        <v>806</v>
      </c>
      <c r="G1060" t="s">
        <v>176</v>
      </c>
      <c r="H1060">
        <v>28376.77378</v>
      </c>
      <c r="I1060">
        <v>28376.77378</v>
      </c>
      <c r="J1060" t="s">
        <v>148</v>
      </c>
      <c r="K1060" t="s">
        <v>148</v>
      </c>
      <c r="L1060">
        <v>0.6</v>
      </c>
      <c r="M1060" t="s">
        <v>149</v>
      </c>
      <c r="N1060">
        <v>5</v>
      </c>
      <c r="O1060">
        <v>3.9</v>
      </c>
      <c r="P1060">
        <v>2</v>
      </c>
      <c r="Q1060">
        <v>1650</v>
      </c>
      <c r="R1060">
        <v>0.35788631500000001</v>
      </c>
      <c r="S1060" t="s">
        <v>150</v>
      </c>
      <c r="T1060">
        <v>11</v>
      </c>
      <c r="U1060">
        <v>0</v>
      </c>
      <c r="V1060">
        <v>11</v>
      </c>
      <c r="W1060">
        <v>0</v>
      </c>
      <c r="X1060" t="s">
        <v>149</v>
      </c>
      <c r="Y1060" t="s">
        <v>1019</v>
      </c>
    </row>
    <row r="1061" spans="1:25">
      <c r="A1061" t="s">
        <v>1241</v>
      </c>
      <c r="B1061" s="113">
        <v>45260</v>
      </c>
      <c r="C1061" t="s">
        <v>162</v>
      </c>
      <c r="D1061" t="s">
        <v>195</v>
      </c>
      <c r="E1061">
        <v>40</v>
      </c>
      <c r="F1061">
        <v>728</v>
      </c>
      <c r="G1061" t="s">
        <v>147</v>
      </c>
      <c r="H1061">
        <v>96535.011480000001</v>
      </c>
      <c r="I1061">
        <v>96535.011480000001</v>
      </c>
      <c r="J1061" t="s">
        <v>148</v>
      </c>
      <c r="K1061" t="s">
        <v>148</v>
      </c>
      <c r="L1061">
        <v>10.4</v>
      </c>
      <c r="M1061" t="s">
        <v>149</v>
      </c>
      <c r="N1061">
        <v>0</v>
      </c>
      <c r="O1061">
        <v>4.5999999999999996</v>
      </c>
      <c r="P1061">
        <v>1</v>
      </c>
      <c r="Q1061">
        <v>1650</v>
      </c>
      <c r="R1061">
        <v>0.20454934299999999</v>
      </c>
      <c r="S1061" t="s">
        <v>150</v>
      </c>
      <c r="T1061">
        <v>11</v>
      </c>
      <c r="U1061">
        <v>0</v>
      </c>
      <c r="V1061">
        <v>11</v>
      </c>
      <c r="W1061">
        <v>0</v>
      </c>
      <c r="X1061" t="s">
        <v>149</v>
      </c>
      <c r="Y1061" t="s">
        <v>1019</v>
      </c>
    </row>
    <row r="1062" spans="1:25">
      <c r="A1062" t="s">
        <v>1242</v>
      </c>
      <c r="B1062" s="113">
        <v>45260</v>
      </c>
      <c r="C1062" t="s">
        <v>159</v>
      </c>
      <c r="D1062" t="s">
        <v>197</v>
      </c>
      <c r="E1062">
        <v>43</v>
      </c>
      <c r="F1062">
        <v>727</v>
      </c>
      <c r="G1062" t="s">
        <v>147</v>
      </c>
      <c r="H1062">
        <v>30176.054</v>
      </c>
      <c r="I1062">
        <v>30176.054</v>
      </c>
      <c r="J1062" t="s">
        <v>156</v>
      </c>
      <c r="K1062" t="s">
        <v>156</v>
      </c>
      <c r="L1062">
        <v>1.9</v>
      </c>
      <c r="M1062" t="s">
        <v>149</v>
      </c>
      <c r="N1062">
        <v>1</v>
      </c>
      <c r="O1062">
        <v>1.3</v>
      </c>
      <c r="P1062">
        <v>3</v>
      </c>
      <c r="Q1062">
        <v>2000</v>
      </c>
      <c r="R1062">
        <v>4.5987068999999998E-2</v>
      </c>
      <c r="S1062" t="s">
        <v>198</v>
      </c>
      <c r="Y1062" t="s">
        <v>199</v>
      </c>
    </row>
    <row r="1063" spans="1:25">
      <c r="A1063" t="s">
        <v>1243</v>
      </c>
      <c r="B1063" s="113">
        <v>45260</v>
      </c>
      <c r="C1063" t="s">
        <v>162</v>
      </c>
      <c r="D1063" t="s">
        <v>163</v>
      </c>
      <c r="E1063">
        <v>34</v>
      </c>
      <c r="F1063">
        <v>693</v>
      </c>
      <c r="G1063" t="s">
        <v>155</v>
      </c>
      <c r="H1063">
        <v>49760.75589</v>
      </c>
      <c r="I1063">
        <v>49760.75589</v>
      </c>
      <c r="J1063" t="s">
        <v>148</v>
      </c>
      <c r="K1063" t="s">
        <v>148</v>
      </c>
      <c r="L1063">
        <v>5</v>
      </c>
      <c r="M1063" t="s">
        <v>149</v>
      </c>
      <c r="N1063">
        <v>2</v>
      </c>
      <c r="O1063">
        <v>2.1</v>
      </c>
      <c r="P1063">
        <v>3</v>
      </c>
      <c r="Q1063">
        <v>1050</v>
      </c>
      <c r="R1063">
        <v>0.113749964</v>
      </c>
      <c r="S1063" t="s">
        <v>150</v>
      </c>
      <c r="T1063">
        <v>11</v>
      </c>
      <c r="U1063">
        <v>1</v>
      </c>
      <c r="V1063">
        <v>11</v>
      </c>
      <c r="W1063">
        <v>0</v>
      </c>
      <c r="X1063" t="s">
        <v>149</v>
      </c>
      <c r="Y1063" t="s">
        <v>1019</v>
      </c>
    </row>
    <row r="1064" spans="1:25">
      <c r="A1064" t="s">
        <v>1244</v>
      </c>
      <c r="B1064" s="113">
        <v>45264</v>
      </c>
      <c r="C1064" t="s">
        <v>162</v>
      </c>
      <c r="D1064" t="s">
        <v>179</v>
      </c>
      <c r="E1064">
        <v>41</v>
      </c>
      <c r="F1064">
        <v>669</v>
      </c>
      <c r="G1064" t="s">
        <v>147</v>
      </c>
      <c r="H1064">
        <v>67098.71888</v>
      </c>
      <c r="J1064" t="s">
        <v>148</v>
      </c>
      <c r="K1064" t="s">
        <v>166</v>
      </c>
      <c r="L1064">
        <v>7.7</v>
      </c>
      <c r="M1064" t="s">
        <v>149</v>
      </c>
      <c r="N1064">
        <v>2</v>
      </c>
      <c r="O1064">
        <v>1</v>
      </c>
      <c r="P1064">
        <v>3</v>
      </c>
      <c r="Q1064">
        <v>1100</v>
      </c>
      <c r="R1064">
        <v>0.27058120499999999</v>
      </c>
      <c r="S1064" t="s">
        <v>150</v>
      </c>
      <c r="T1064">
        <v>11</v>
      </c>
      <c r="U1064">
        <v>0</v>
      </c>
      <c r="V1064">
        <v>11</v>
      </c>
      <c r="W1064">
        <v>0</v>
      </c>
      <c r="X1064" t="s">
        <v>149</v>
      </c>
      <c r="Y1064" t="s">
        <v>1019</v>
      </c>
    </row>
    <row r="1065" spans="1:25">
      <c r="A1065" t="s">
        <v>1245</v>
      </c>
      <c r="B1065" s="113">
        <v>45267</v>
      </c>
      <c r="C1065" t="s">
        <v>162</v>
      </c>
      <c r="D1065" t="s">
        <v>190</v>
      </c>
      <c r="E1065">
        <v>57</v>
      </c>
      <c r="F1065">
        <v>654</v>
      </c>
      <c r="G1065" t="s">
        <v>176</v>
      </c>
      <c r="H1065">
        <v>40580.894740000003</v>
      </c>
      <c r="I1065">
        <v>40580.894740000003</v>
      </c>
      <c r="J1065" t="s">
        <v>249</v>
      </c>
      <c r="K1065" t="s">
        <v>249</v>
      </c>
      <c r="L1065">
        <v>0.1</v>
      </c>
      <c r="M1065" t="s">
        <v>149</v>
      </c>
      <c r="N1065">
        <v>3</v>
      </c>
      <c r="O1065">
        <v>8.8000000000000007</v>
      </c>
      <c r="P1065">
        <v>0</v>
      </c>
      <c r="Q1065">
        <v>900</v>
      </c>
      <c r="R1065">
        <v>0.42050033199999998</v>
      </c>
      <c r="S1065" t="s">
        <v>150</v>
      </c>
      <c r="T1065">
        <v>10</v>
      </c>
      <c r="U1065">
        <v>0</v>
      </c>
      <c r="V1065">
        <v>10</v>
      </c>
      <c r="W1065">
        <v>0</v>
      </c>
      <c r="X1065" t="s">
        <v>149</v>
      </c>
      <c r="Y1065" t="s">
        <v>1019</v>
      </c>
    </row>
    <row r="1066" spans="1:25">
      <c r="A1066" t="s">
        <v>1246</v>
      </c>
      <c r="B1066" s="113">
        <v>45269</v>
      </c>
      <c r="C1066" t="s">
        <v>159</v>
      </c>
      <c r="D1066" t="s">
        <v>197</v>
      </c>
      <c r="E1066">
        <v>42</v>
      </c>
      <c r="F1066">
        <v>705</v>
      </c>
      <c r="G1066" t="s">
        <v>169</v>
      </c>
      <c r="H1066">
        <v>70229.708790000004</v>
      </c>
      <c r="I1066">
        <v>70229.708790000004</v>
      </c>
      <c r="J1066" t="s">
        <v>148</v>
      </c>
      <c r="K1066" t="s">
        <v>148</v>
      </c>
      <c r="L1066">
        <v>0.7</v>
      </c>
      <c r="M1066" t="s">
        <v>149</v>
      </c>
      <c r="N1066">
        <v>2</v>
      </c>
      <c r="O1066">
        <v>2.6</v>
      </c>
      <c r="P1066">
        <v>3</v>
      </c>
      <c r="Q1066">
        <v>1850</v>
      </c>
      <c r="R1066">
        <v>0.559677596</v>
      </c>
      <c r="S1066" t="s">
        <v>150</v>
      </c>
      <c r="T1066">
        <v>10</v>
      </c>
      <c r="U1066">
        <v>0</v>
      </c>
      <c r="V1066">
        <v>10</v>
      </c>
      <c r="W1066">
        <v>0</v>
      </c>
      <c r="X1066" t="s">
        <v>149</v>
      </c>
      <c r="Y1066" t="s">
        <v>1019</v>
      </c>
    </row>
    <row r="1067" spans="1:25">
      <c r="A1067" t="s">
        <v>1247</v>
      </c>
      <c r="B1067" s="113">
        <v>45270</v>
      </c>
      <c r="C1067" t="s">
        <v>162</v>
      </c>
      <c r="D1067" t="s">
        <v>187</v>
      </c>
      <c r="E1067">
        <v>34</v>
      </c>
      <c r="F1067">
        <v>787</v>
      </c>
      <c r="G1067" t="s">
        <v>147</v>
      </c>
      <c r="H1067">
        <v>42343.55805</v>
      </c>
      <c r="J1067" t="s">
        <v>170</v>
      </c>
      <c r="K1067" t="s">
        <v>170</v>
      </c>
      <c r="L1067">
        <v>3.4</v>
      </c>
      <c r="M1067" t="s">
        <v>149</v>
      </c>
      <c r="N1067">
        <v>4</v>
      </c>
      <c r="O1067">
        <v>20.8</v>
      </c>
      <c r="P1067">
        <v>3</v>
      </c>
      <c r="Q1067">
        <v>1150</v>
      </c>
      <c r="R1067">
        <v>0.68455765400000002</v>
      </c>
      <c r="S1067" t="s">
        <v>150</v>
      </c>
      <c r="T1067">
        <v>10</v>
      </c>
      <c r="U1067">
        <v>0</v>
      </c>
      <c r="V1067">
        <v>10</v>
      </c>
      <c r="W1067">
        <v>0</v>
      </c>
      <c r="X1067" t="s">
        <v>149</v>
      </c>
      <c r="Y1067" t="s">
        <v>1019</v>
      </c>
    </row>
    <row r="1068" spans="1:25">
      <c r="A1068" t="s">
        <v>1248</v>
      </c>
      <c r="B1068" s="113">
        <v>45271</v>
      </c>
      <c r="C1068" t="s">
        <v>145</v>
      </c>
      <c r="D1068" t="s">
        <v>154</v>
      </c>
      <c r="E1068">
        <v>47</v>
      </c>
      <c r="F1068">
        <v>693</v>
      </c>
      <c r="G1068" t="s">
        <v>169</v>
      </c>
      <c r="H1068">
        <v>89345.129289999997</v>
      </c>
      <c r="I1068">
        <v>89345.129289999997</v>
      </c>
      <c r="J1068" t="s">
        <v>148</v>
      </c>
      <c r="K1068" t="s">
        <v>166</v>
      </c>
      <c r="L1068">
        <v>3.8</v>
      </c>
      <c r="M1068" t="s">
        <v>149</v>
      </c>
      <c r="N1068">
        <v>3</v>
      </c>
      <c r="O1068">
        <v>6.7</v>
      </c>
      <c r="P1068">
        <v>2</v>
      </c>
      <c r="Q1068">
        <v>800</v>
      </c>
      <c r="R1068">
        <v>0.79195038900000003</v>
      </c>
      <c r="S1068" t="s">
        <v>150</v>
      </c>
      <c r="T1068">
        <v>10</v>
      </c>
      <c r="U1068">
        <v>0</v>
      </c>
      <c r="V1068">
        <v>10</v>
      </c>
      <c r="W1068">
        <v>0</v>
      </c>
      <c r="X1068" t="s">
        <v>149</v>
      </c>
      <c r="Y1068" t="s">
        <v>1019</v>
      </c>
    </row>
    <row r="1069" spans="1:25">
      <c r="A1069" t="s">
        <v>1249</v>
      </c>
      <c r="B1069" s="113">
        <v>45275</v>
      </c>
      <c r="C1069" t="s">
        <v>162</v>
      </c>
      <c r="D1069" t="s">
        <v>187</v>
      </c>
      <c r="E1069">
        <v>46</v>
      </c>
      <c r="F1069">
        <v>637</v>
      </c>
      <c r="G1069" t="s">
        <v>155</v>
      </c>
      <c r="H1069">
        <v>48349.949659999998</v>
      </c>
      <c r="I1069">
        <v>48349.949659999998</v>
      </c>
      <c r="J1069" t="s">
        <v>148</v>
      </c>
      <c r="K1069" t="s">
        <v>148</v>
      </c>
      <c r="L1069">
        <v>1.6</v>
      </c>
      <c r="M1069" t="s">
        <v>149</v>
      </c>
      <c r="N1069">
        <v>1</v>
      </c>
      <c r="O1069">
        <v>4.4000000000000004</v>
      </c>
      <c r="P1069">
        <v>3</v>
      </c>
      <c r="Q1069">
        <v>1300</v>
      </c>
      <c r="R1069">
        <v>0.87911240899999998</v>
      </c>
      <c r="S1069" t="s">
        <v>150</v>
      </c>
      <c r="T1069">
        <v>10</v>
      </c>
      <c r="U1069">
        <v>0</v>
      </c>
      <c r="V1069">
        <v>10</v>
      </c>
      <c r="W1069">
        <v>0</v>
      </c>
      <c r="X1069" t="s">
        <v>149</v>
      </c>
      <c r="Y1069" t="s">
        <v>1019</v>
      </c>
    </row>
    <row r="1070" spans="1:25">
      <c r="A1070" t="s">
        <v>1250</v>
      </c>
      <c r="B1070" s="113">
        <v>45275</v>
      </c>
      <c r="C1070" t="s">
        <v>162</v>
      </c>
      <c r="D1070" t="s">
        <v>163</v>
      </c>
      <c r="E1070">
        <v>33</v>
      </c>
      <c r="F1070">
        <v>745</v>
      </c>
      <c r="G1070" t="s">
        <v>176</v>
      </c>
      <c r="H1070">
        <v>94465.316709999999</v>
      </c>
      <c r="J1070" t="s">
        <v>148</v>
      </c>
      <c r="K1070" t="s">
        <v>148</v>
      </c>
      <c r="L1070">
        <v>0.5</v>
      </c>
      <c r="M1070" t="s">
        <v>151</v>
      </c>
      <c r="N1070">
        <v>3</v>
      </c>
      <c r="O1070">
        <v>1.5</v>
      </c>
      <c r="P1070">
        <v>3</v>
      </c>
      <c r="Q1070">
        <v>1800</v>
      </c>
      <c r="R1070">
        <v>0.94381712100000004</v>
      </c>
      <c r="S1070" t="s">
        <v>150</v>
      </c>
      <c r="T1070">
        <v>10</v>
      </c>
      <c r="U1070">
        <v>1</v>
      </c>
      <c r="V1070">
        <v>10</v>
      </c>
      <c r="W1070">
        <v>0</v>
      </c>
      <c r="X1070" t="s">
        <v>149</v>
      </c>
      <c r="Y1070" t="s">
        <v>1019</v>
      </c>
    </row>
    <row r="1071" spans="1:25">
      <c r="A1071" t="s">
        <v>1251</v>
      </c>
      <c r="B1071" s="113">
        <v>45275</v>
      </c>
      <c r="C1071" t="s">
        <v>162</v>
      </c>
      <c r="D1071" t="s">
        <v>193</v>
      </c>
      <c r="E1071">
        <v>33</v>
      </c>
      <c r="F1071">
        <v>597</v>
      </c>
      <c r="G1071" t="s">
        <v>176</v>
      </c>
      <c r="H1071">
        <v>19736.885480000001</v>
      </c>
      <c r="I1071">
        <v>19736.885480000001</v>
      </c>
      <c r="J1071" t="s">
        <v>183</v>
      </c>
      <c r="K1071" t="s">
        <v>183</v>
      </c>
      <c r="L1071">
        <v>1.4</v>
      </c>
      <c r="M1071" t="s">
        <v>151</v>
      </c>
      <c r="N1071">
        <v>1</v>
      </c>
      <c r="O1071">
        <v>1.1000000000000001</v>
      </c>
      <c r="P1071">
        <v>2</v>
      </c>
      <c r="Q1071">
        <v>1250</v>
      </c>
      <c r="R1071">
        <v>0.98441161600000004</v>
      </c>
      <c r="S1071" t="s">
        <v>198</v>
      </c>
      <c r="Y1071" t="s">
        <v>199</v>
      </c>
    </row>
    <row r="1072" spans="1:25">
      <c r="A1072" t="s">
        <v>1252</v>
      </c>
      <c r="B1072" s="113">
        <v>45276</v>
      </c>
      <c r="C1072" t="s">
        <v>159</v>
      </c>
      <c r="D1072" t="s">
        <v>197</v>
      </c>
      <c r="E1072">
        <v>29</v>
      </c>
      <c r="F1072">
        <v>644</v>
      </c>
      <c r="G1072" t="s">
        <v>169</v>
      </c>
      <c r="H1072">
        <v>19108.542020000001</v>
      </c>
      <c r="I1072">
        <v>19108.542020000001</v>
      </c>
      <c r="J1072" t="s">
        <v>148</v>
      </c>
      <c r="K1072" t="s">
        <v>148</v>
      </c>
      <c r="L1072">
        <v>1.7</v>
      </c>
      <c r="M1072" t="s">
        <v>149</v>
      </c>
      <c r="N1072">
        <v>3</v>
      </c>
      <c r="O1072">
        <v>0.7</v>
      </c>
      <c r="P1072">
        <v>3</v>
      </c>
      <c r="Q1072">
        <v>850</v>
      </c>
      <c r="R1072">
        <v>0.99985888999999994</v>
      </c>
      <c r="S1072" t="s">
        <v>150</v>
      </c>
      <c r="T1072">
        <v>10</v>
      </c>
      <c r="U1072">
        <v>0</v>
      </c>
      <c r="V1072">
        <v>10</v>
      </c>
      <c r="W1072">
        <v>0</v>
      </c>
      <c r="X1072" t="s">
        <v>149</v>
      </c>
      <c r="Y1072" t="s">
        <v>1019</v>
      </c>
    </row>
    <row r="1073" spans="1:25">
      <c r="A1073" t="s">
        <v>1253</v>
      </c>
      <c r="B1073" s="113">
        <v>45276</v>
      </c>
      <c r="C1073" t="s">
        <v>159</v>
      </c>
      <c r="D1073" t="s">
        <v>160</v>
      </c>
      <c r="E1073">
        <v>57</v>
      </c>
      <c r="F1073">
        <v>626</v>
      </c>
      <c r="G1073" t="s">
        <v>176</v>
      </c>
      <c r="H1073">
        <v>69256.280880000006</v>
      </c>
      <c r="I1073">
        <v>69256.280880000006</v>
      </c>
      <c r="J1073" t="s">
        <v>156</v>
      </c>
      <c r="K1073" t="s">
        <v>156</v>
      </c>
      <c r="L1073">
        <v>2.1</v>
      </c>
      <c r="M1073" t="s">
        <v>149</v>
      </c>
      <c r="N1073">
        <v>3</v>
      </c>
      <c r="O1073">
        <v>1.6</v>
      </c>
      <c r="P1073">
        <v>3</v>
      </c>
      <c r="Q1073">
        <v>1500</v>
      </c>
      <c r="R1073">
        <v>0.98976433500000005</v>
      </c>
      <c r="S1073" t="s">
        <v>150</v>
      </c>
      <c r="T1073">
        <v>10</v>
      </c>
      <c r="U1073">
        <v>1</v>
      </c>
      <c r="V1073">
        <v>10</v>
      </c>
      <c r="W1073">
        <v>0</v>
      </c>
      <c r="X1073" t="s">
        <v>149</v>
      </c>
      <c r="Y1073" t="s">
        <v>1019</v>
      </c>
    </row>
    <row r="1074" spans="1:25">
      <c r="A1074" t="s">
        <v>1254</v>
      </c>
      <c r="B1074" s="113">
        <v>45277</v>
      </c>
      <c r="C1074" t="s">
        <v>145</v>
      </c>
      <c r="D1074" t="s">
        <v>213</v>
      </c>
      <c r="E1074">
        <v>37</v>
      </c>
      <c r="F1074">
        <v>714</v>
      </c>
      <c r="G1074" t="s">
        <v>147</v>
      </c>
      <c r="H1074">
        <v>77159.39804</v>
      </c>
      <c r="I1074">
        <v>77159.39804</v>
      </c>
      <c r="J1074" t="s">
        <v>148</v>
      </c>
      <c r="K1074" t="s">
        <v>148</v>
      </c>
      <c r="L1074">
        <v>0.8</v>
      </c>
      <c r="M1074" t="s">
        <v>149</v>
      </c>
      <c r="N1074">
        <v>6</v>
      </c>
      <c r="O1074">
        <v>1.2</v>
      </c>
      <c r="P1074">
        <v>4</v>
      </c>
      <c r="Q1074">
        <v>1300</v>
      </c>
      <c r="R1074">
        <v>0.95438582100000002</v>
      </c>
      <c r="S1074" t="s">
        <v>150</v>
      </c>
      <c r="T1074">
        <v>10</v>
      </c>
      <c r="U1074">
        <v>0</v>
      </c>
      <c r="V1074">
        <v>10</v>
      </c>
      <c r="W1074">
        <v>0</v>
      </c>
      <c r="X1074" t="s">
        <v>149</v>
      </c>
      <c r="Y1074" t="s">
        <v>1019</v>
      </c>
    </row>
    <row r="1075" spans="1:25">
      <c r="A1075" t="s">
        <v>1255</v>
      </c>
      <c r="B1075" s="113">
        <v>45277</v>
      </c>
      <c r="C1075" t="s">
        <v>162</v>
      </c>
      <c r="D1075" t="s">
        <v>195</v>
      </c>
      <c r="E1075">
        <v>44</v>
      </c>
      <c r="F1075">
        <v>644</v>
      </c>
      <c r="G1075" t="s">
        <v>147</v>
      </c>
      <c r="H1075">
        <v>73761.612670000002</v>
      </c>
      <c r="I1075">
        <v>73761.612670000002</v>
      </c>
      <c r="J1075" t="s">
        <v>148</v>
      </c>
      <c r="K1075" t="s">
        <v>148</v>
      </c>
      <c r="L1075">
        <v>0.8</v>
      </c>
      <c r="M1075" t="s">
        <v>149</v>
      </c>
      <c r="N1075">
        <v>1</v>
      </c>
      <c r="O1075">
        <v>3.6</v>
      </c>
      <c r="P1075">
        <v>2</v>
      </c>
      <c r="Q1075">
        <v>1100</v>
      </c>
      <c r="R1075">
        <v>0.89462710899999998</v>
      </c>
      <c r="S1075" t="s">
        <v>150</v>
      </c>
      <c r="T1075">
        <v>10</v>
      </c>
      <c r="U1075">
        <v>0</v>
      </c>
      <c r="V1075">
        <v>10</v>
      </c>
      <c r="W1075">
        <v>0</v>
      </c>
      <c r="X1075" t="s">
        <v>149</v>
      </c>
      <c r="Y1075" t="s">
        <v>1019</v>
      </c>
    </row>
    <row r="1076" spans="1:25">
      <c r="A1076" t="s">
        <v>1256</v>
      </c>
      <c r="B1076" s="113">
        <v>45278</v>
      </c>
      <c r="C1076" t="s">
        <v>145</v>
      </c>
      <c r="D1076" t="s">
        <v>172</v>
      </c>
      <c r="E1076">
        <v>56</v>
      </c>
      <c r="F1076">
        <v>755</v>
      </c>
      <c r="G1076" t="s">
        <v>169</v>
      </c>
      <c r="H1076">
        <v>11092.12933</v>
      </c>
      <c r="I1076">
        <v>11092.12933</v>
      </c>
      <c r="J1076" t="s">
        <v>148</v>
      </c>
      <c r="K1076" t="s">
        <v>148</v>
      </c>
      <c r="L1076">
        <v>3.4</v>
      </c>
      <c r="M1076" t="s">
        <v>149</v>
      </c>
      <c r="N1076">
        <v>2</v>
      </c>
      <c r="O1076">
        <v>14.3</v>
      </c>
      <c r="P1076">
        <v>3</v>
      </c>
      <c r="Q1076">
        <v>1350</v>
      </c>
      <c r="R1076">
        <v>0.81201475899999997</v>
      </c>
      <c r="S1076" t="s">
        <v>198</v>
      </c>
      <c r="Y1076" t="s">
        <v>199</v>
      </c>
    </row>
    <row r="1077" spans="1:25">
      <c r="A1077" t="s">
        <v>1257</v>
      </c>
      <c r="B1077" s="113">
        <v>45279</v>
      </c>
      <c r="C1077" t="s">
        <v>162</v>
      </c>
      <c r="D1077" t="s">
        <v>195</v>
      </c>
      <c r="E1077">
        <v>51</v>
      </c>
      <c r="F1077">
        <v>743</v>
      </c>
      <c r="G1077" t="s">
        <v>169</v>
      </c>
      <c r="H1077">
        <v>42968.992480000001</v>
      </c>
      <c r="I1077">
        <v>42968.992480000001</v>
      </c>
      <c r="J1077" t="s">
        <v>148</v>
      </c>
      <c r="K1077" t="s">
        <v>148</v>
      </c>
      <c r="L1077">
        <v>2.7</v>
      </c>
      <c r="M1077" t="s">
        <v>149</v>
      </c>
      <c r="N1077">
        <v>3</v>
      </c>
      <c r="O1077">
        <v>3.7</v>
      </c>
      <c r="P1077">
        <v>3</v>
      </c>
      <c r="Q1077">
        <v>1300</v>
      </c>
      <c r="R1077">
        <v>0.70865913999999997</v>
      </c>
      <c r="S1077" t="s">
        <v>150</v>
      </c>
      <c r="T1077">
        <v>10</v>
      </c>
      <c r="U1077">
        <v>0</v>
      </c>
      <c r="V1077">
        <v>10</v>
      </c>
      <c r="W1077">
        <v>0</v>
      </c>
      <c r="X1077" t="s">
        <v>149</v>
      </c>
      <c r="Y1077" t="s">
        <v>1019</v>
      </c>
    </row>
    <row r="1078" spans="1:25">
      <c r="A1078" t="s">
        <v>1258</v>
      </c>
      <c r="B1078" s="113">
        <v>45280</v>
      </c>
      <c r="C1078" t="s">
        <v>159</v>
      </c>
      <c r="D1078" t="s">
        <v>165</v>
      </c>
      <c r="E1078">
        <v>35</v>
      </c>
      <c r="F1078">
        <v>723</v>
      </c>
      <c r="G1078" t="s">
        <v>169</v>
      </c>
      <c r="H1078">
        <v>43797.193679999997</v>
      </c>
      <c r="I1078">
        <v>43797.193679999997</v>
      </c>
      <c r="J1078" t="s">
        <v>148</v>
      </c>
      <c r="K1078" t="s">
        <v>148</v>
      </c>
      <c r="L1078">
        <v>1.8</v>
      </c>
      <c r="M1078" t="s">
        <v>149</v>
      </c>
      <c r="N1078">
        <v>5</v>
      </c>
      <c r="O1078">
        <v>0.3</v>
      </c>
      <c r="P1078">
        <v>2</v>
      </c>
      <c r="Q1078">
        <v>1750</v>
      </c>
      <c r="R1078">
        <v>0.58720051699999998</v>
      </c>
      <c r="S1078" t="s">
        <v>150</v>
      </c>
      <c r="T1078">
        <v>10</v>
      </c>
      <c r="U1078">
        <v>1</v>
      </c>
      <c r="V1078">
        <v>10</v>
      </c>
      <c r="W1078">
        <v>0</v>
      </c>
      <c r="X1078" t="s">
        <v>149</v>
      </c>
      <c r="Y1078" t="s">
        <v>1019</v>
      </c>
    </row>
    <row r="1079" spans="1:25">
      <c r="A1079" t="s">
        <v>1259</v>
      </c>
      <c r="B1079" s="113">
        <v>45281</v>
      </c>
      <c r="C1079" t="s">
        <v>162</v>
      </c>
      <c r="D1079" t="s">
        <v>193</v>
      </c>
      <c r="E1079">
        <v>39</v>
      </c>
      <c r="F1079">
        <v>809</v>
      </c>
      <c r="G1079" t="s">
        <v>155</v>
      </c>
      <c r="H1079">
        <v>149438.484</v>
      </c>
      <c r="J1079" t="s">
        <v>249</v>
      </c>
      <c r="K1079" t="s">
        <v>249</v>
      </c>
      <c r="L1079">
        <v>2.4</v>
      </c>
      <c r="M1079" t="s">
        <v>149</v>
      </c>
      <c r="N1079">
        <v>5</v>
      </c>
      <c r="O1079">
        <v>1.8</v>
      </c>
      <c r="P1079">
        <v>3</v>
      </c>
      <c r="Q1079">
        <v>1900</v>
      </c>
      <c r="R1079">
        <v>0.45074160200000002</v>
      </c>
      <c r="S1079" t="s">
        <v>150</v>
      </c>
      <c r="T1079">
        <v>10</v>
      </c>
      <c r="U1079">
        <v>0</v>
      </c>
      <c r="V1079">
        <v>10</v>
      </c>
      <c r="W1079">
        <v>0</v>
      </c>
      <c r="X1079" t="s">
        <v>149</v>
      </c>
      <c r="Y1079" t="s">
        <v>1019</v>
      </c>
    </row>
    <row r="1080" spans="1:25">
      <c r="A1080" t="s">
        <v>1260</v>
      </c>
      <c r="B1080" s="113">
        <v>45282</v>
      </c>
      <c r="C1080" t="s">
        <v>159</v>
      </c>
      <c r="D1080" t="s">
        <v>165</v>
      </c>
      <c r="E1080">
        <v>30</v>
      </c>
      <c r="F1080">
        <v>731</v>
      </c>
      <c r="G1080" t="s">
        <v>155</v>
      </c>
      <c r="H1080">
        <v>41254.084779999997</v>
      </c>
      <c r="J1080" t="s">
        <v>221</v>
      </c>
      <c r="K1080" t="s">
        <v>221</v>
      </c>
      <c r="L1080">
        <v>0.7</v>
      </c>
      <c r="M1080" t="s">
        <v>149</v>
      </c>
      <c r="N1080">
        <v>1</v>
      </c>
      <c r="O1080">
        <v>0.8</v>
      </c>
      <c r="P1080">
        <v>3</v>
      </c>
      <c r="Q1080">
        <v>1000</v>
      </c>
      <c r="R1080">
        <v>0.30276829700000002</v>
      </c>
      <c r="S1080" t="s">
        <v>150</v>
      </c>
      <c r="T1080">
        <v>10</v>
      </c>
      <c r="U1080">
        <v>0</v>
      </c>
      <c r="V1080">
        <v>10</v>
      </c>
      <c r="W1080">
        <v>0</v>
      </c>
      <c r="X1080" t="s">
        <v>149</v>
      </c>
      <c r="Y1080" t="s">
        <v>1019</v>
      </c>
    </row>
    <row r="1081" spans="1:25">
      <c r="A1081" t="s">
        <v>1261</v>
      </c>
      <c r="B1081" s="113">
        <v>45282</v>
      </c>
      <c r="C1081" t="s">
        <v>145</v>
      </c>
      <c r="D1081" t="s">
        <v>172</v>
      </c>
      <c r="E1081">
        <v>34</v>
      </c>
      <c r="F1081">
        <v>707</v>
      </c>
      <c r="G1081" t="s">
        <v>155</v>
      </c>
      <c r="H1081">
        <v>20732.766319999999</v>
      </c>
      <c r="I1081">
        <v>20732.766319999999</v>
      </c>
      <c r="J1081" t="s">
        <v>148</v>
      </c>
      <c r="K1081" t="s">
        <v>148</v>
      </c>
      <c r="L1081">
        <v>10.7</v>
      </c>
      <c r="M1081" t="s">
        <v>149</v>
      </c>
      <c r="N1081">
        <v>4</v>
      </c>
      <c r="O1081">
        <v>6.2</v>
      </c>
      <c r="P1081">
        <v>2</v>
      </c>
      <c r="Q1081">
        <v>1950</v>
      </c>
      <c r="R1081">
        <v>0.14706064499999999</v>
      </c>
      <c r="S1081" t="s">
        <v>198</v>
      </c>
      <c r="Y1081" t="s">
        <v>199</v>
      </c>
    </row>
    <row r="1082" spans="1:25">
      <c r="A1082" t="s">
        <v>1262</v>
      </c>
      <c r="B1082" s="113">
        <v>45283</v>
      </c>
      <c r="C1082" t="s">
        <v>159</v>
      </c>
      <c r="D1082" t="s">
        <v>197</v>
      </c>
      <c r="E1082">
        <v>28</v>
      </c>
      <c r="F1082">
        <v>782</v>
      </c>
      <c r="G1082" t="s">
        <v>147</v>
      </c>
      <c r="H1082">
        <v>23947.697649999998</v>
      </c>
      <c r="J1082" t="s">
        <v>148</v>
      </c>
      <c r="K1082" t="s">
        <v>148</v>
      </c>
      <c r="L1082">
        <v>6.4</v>
      </c>
      <c r="M1082" t="s">
        <v>149</v>
      </c>
      <c r="N1082">
        <v>4</v>
      </c>
      <c r="O1082">
        <v>0.8</v>
      </c>
      <c r="P1082">
        <v>2</v>
      </c>
      <c r="Q1082">
        <v>1000</v>
      </c>
      <c r="R1082">
        <v>1.2403734E-2</v>
      </c>
      <c r="S1082" t="s">
        <v>150</v>
      </c>
      <c r="T1082">
        <v>10</v>
      </c>
      <c r="U1082">
        <v>0</v>
      </c>
      <c r="V1082">
        <v>10</v>
      </c>
      <c r="W1082">
        <v>0</v>
      </c>
      <c r="X1082" t="s">
        <v>149</v>
      </c>
      <c r="Y1082" t="s">
        <v>1019</v>
      </c>
    </row>
    <row r="1083" spans="1:25">
      <c r="A1083" t="s">
        <v>1263</v>
      </c>
      <c r="B1083" s="113">
        <v>45287</v>
      </c>
      <c r="C1083" t="s">
        <v>145</v>
      </c>
      <c r="D1083" t="s">
        <v>280</v>
      </c>
      <c r="E1083">
        <v>25</v>
      </c>
      <c r="F1083">
        <v>758</v>
      </c>
      <c r="G1083" t="s">
        <v>176</v>
      </c>
      <c r="H1083">
        <v>80092.377789999999</v>
      </c>
      <c r="I1083">
        <v>80092.377789999999</v>
      </c>
      <c r="J1083" t="s">
        <v>183</v>
      </c>
      <c r="K1083" t="s">
        <v>183</v>
      </c>
      <c r="L1083">
        <v>0.2</v>
      </c>
      <c r="M1083" t="s">
        <v>149</v>
      </c>
      <c r="N1083">
        <v>2</v>
      </c>
      <c r="O1083">
        <v>4.5999999999999996</v>
      </c>
      <c r="P1083">
        <v>4</v>
      </c>
      <c r="Q1083">
        <v>900</v>
      </c>
      <c r="R1083">
        <v>0.17155125500000001</v>
      </c>
      <c r="S1083" t="s">
        <v>150</v>
      </c>
      <c r="T1083">
        <v>10</v>
      </c>
      <c r="U1083">
        <v>0</v>
      </c>
      <c r="V1083">
        <v>10</v>
      </c>
      <c r="W1083">
        <v>0</v>
      </c>
      <c r="X1083" t="s">
        <v>149</v>
      </c>
      <c r="Y1083" t="s">
        <v>1019</v>
      </c>
    </row>
    <row r="1084" spans="1:25">
      <c r="A1084" t="s">
        <v>1264</v>
      </c>
      <c r="B1084" s="113">
        <v>45292</v>
      </c>
      <c r="C1084" t="s">
        <v>162</v>
      </c>
      <c r="D1084" t="s">
        <v>193</v>
      </c>
      <c r="E1084">
        <v>38</v>
      </c>
      <c r="F1084">
        <v>762</v>
      </c>
      <c r="G1084" t="s">
        <v>155</v>
      </c>
      <c r="H1084">
        <v>108546.19349999999</v>
      </c>
      <c r="I1084">
        <v>108546.19349999999</v>
      </c>
      <c r="J1084" t="s">
        <v>156</v>
      </c>
      <c r="K1084" t="s">
        <v>156</v>
      </c>
      <c r="L1084">
        <v>5</v>
      </c>
      <c r="M1084" t="s">
        <v>149</v>
      </c>
      <c r="N1084">
        <v>5</v>
      </c>
      <c r="O1084">
        <v>2</v>
      </c>
      <c r="P1084">
        <v>2</v>
      </c>
      <c r="Q1084">
        <v>1100</v>
      </c>
      <c r="R1084">
        <v>0.32631642500000002</v>
      </c>
      <c r="S1084" t="s">
        <v>150</v>
      </c>
      <c r="T1084">
        <v>10</v>
      </c>
      <c r="U1084">
        <v>0</v>
      </c>
      <c r="V1084">
        <v>10</v>
      </c>
      <c r="W1084">
        <v>0</v>
      </c>
      <c r="X1084" t="s">
        <v>149</v>
      </c>
      <c r="Y1084" t="s">
        <v>1019</v>
      </c>
    </row>
    <row r="1085" spans="1:25">
      <c r="A1085" t="s">
        <v>1265</v>
      </c>
      <c r="B1085" s="113">
        <v>45295</v>
      </c>
      <c r="C1085" t="s">
        <v>159</v>
      </c>
      <c r="D1085" t="s">
        <v>209</v>
      </c>
      <c r="E1085">
        <v>53</v>
      </c>
      <c r="F1085">
        <v>663</v>
      </c>
      <c r="G1085" t="s">
        <v>147</v>
      </c>
      <c r="H1085">
        <v>24716.348139999998</v>
      </c>
      <c r="I1085">
        <v>24716.348139999998</v>
      </c>
      <c r="J1085" t="s">
        <v>148</v>
      </c>
      <c r="K1085" t="s">
        <v>148</v>
      </c>
      <c r="L1085">
        <v>0.3</v>
      </c>
      <c r="M1085" t="s">
        <v>149</v>
      </c>
      <c r="N1085">
        <v>2</v>
      </c>
      <c r="O1085">
        <v>3.4</v>
      </c>
      <c r="P1085">
        <v>1</v>
      </c>
      <c r="Q1085">
        <v>950</v>
      </c>
      <c r="R1085">
        <v>0.47274570100000002</v>
      </c>
      <c r="S1085" t="s">
        <v>150</v>
      </c>
      <c r="T1085">
        <v>10</v>
      </c>
      <c r="U1085">
        <v>0</v>
      </c>
      <c r="V1085">
        <v>10</v>
      </c>
      <c r="W1085">
        <v>0</v>
      </c>
      <c r="X1085" t="s">
        <v>149</v>
      </c>
      <c r="Y1085" t="s">
        <v>1019</v>
      </c>
    </row>
    <row r="1086" spans="1:25">
      <c r="A1086" t="s">
        <v>1266</v>
      </c>
      <c r="B1086" s="113">
        <v>45301</v>
      </c>
      <c r="C1086" t="s">
        <v>159</v>
      </c>
      <c r="D1086" t="s">
        <v>209</v>
      </c>
      <c r="E1086">
        <v>37</v>
      </c>
      <c r="F1086">
        <v>642</v>
      </c>
      <c r="G1086" t="s">
        <v>169</v>
      </c>
      <c r="H1086">
        <v>41931.321559999997</v>
      </c>
      <c r="I1086">
        <v>41931.321559999997</v>
      </c>
      <c r="J1086" t="s">
        <v>148</v>
      </c>
      <c r="K1086" t="s">
        <v>148</v>
      </c>
      <c r="L1086">
        <v>2</v>
      </c>
      <c r="M1086" t="s">
        <v>149</v>
      </c>
      <c r="N1086">
        <v>8</v>
      </c>
      <c r="O1086">
        <v>5.4</v>
      </c>
      <c r="P1086">
        <v>2</v>
      </c>
      <c r="Q1086">
        <v>1550</v>
      </c>
      <c r="R1086">
        <v>0.60709848200000005</v>
      </c>
      <c r="S1086" t="s">
        <v>150</v>
      </c>
      <c r="T1086">
        <v>9</v>
      </c>
      <c r="U1086">
        <v>0</v>
      </c>
      <c r="V1086">
        <v>9</v>
      </c>
      <c r="W1086">
        <v>0</v>
      </c>
      <c r="X1086" t="s">
        <v>149</v>
      </c>
      <c r="Y1086" t="s">
        <v>1019</v>
      </c>
    </row>
    <row r="1087" spans="1:25">
      <c r="A1087" t="s">
        <v>1267</v>
      </c>
      <c r="B1087" s="113">
        <v>45302</v>
      </c>
      <c r="C1087" t="s">
        <v>162</v>
      </c>
      <c r="D1087" t="s">
        <v>190</v>
      </c>
      <c r="E1087">
        <v>28</v>
      </c>
      <c r="F1087">
        <v>773</v>
      </c>
      <c r="G1087" t="s">
        <v>155</v>
      </c>
      <c r="H1087">
        <v>34977.306429999997</v>
      </c>
      <c r="J1087" t="s">
        <v>148</v>
      </c>
      <c r="K1087" t="s">
        <v>148</v>
      </c>
      <c r="L1087">
        <v>11.7</v>
      </c>
      <c r="M1087" t="s">
        <v>149</v>
      </c>
      <c r="N1087">
        <v>3</v>
      </c>
      <c r="O1087">
        <v>4.8</v>
      </c>
      <c r="P1087">
        <v>2</v>
      </c>
      <c r="Q1087">
        <v>1350</v>
      </c>
      <c r="R1087">
        <v>0.72594267000000001</v>
      </c>
      <c r="S1087" t="s">
        <v>150</v>
      </c>
      <c r="T1087">
        <v>9</v>
      </c>
      <c r="U1087">
        <v>0</v>
      </c>
      <c r="V1087">
        <v>9</v>
      </c>
      <c r="W1087">
        <v>0</v>
      </c>
      <c r="X1087" t="s">
        <v>149</v>
      </c>
      <c r="Y1087" t="s">
        <v>1019</v>
      </c>
    </row>
    <row r="1088" spans="1:25">
      <c r="A1088" t="s">
        <v>1268</v>
      </c>
      <c r="B1088" s="113">
        <v>45303</v>
      </c>
      <c r="C1088" t="s">
        <v>145</v>
      </c>
      <c r="D1088" t="s">
        <v>146</v>
      </c>
      <c r="E1088">
        <v>39</v>
      </c>
      <c r="F1088">
        <v>760</v>
      </c>
      <c r="G1088" t="s">
        <v>147</v>
      </c>
      <c r="H1088">
        <v>58764.319730000003</v>
      </c>
      <c r="I1088">
        <v>58764.319730000003</v>
      </c>
      <c r="J1088" t="s">
        <v>156</v>
      </c>
      <c r="K1088" t="s">
        <v>156</v>
      </c>
      <c r="L1088">
        <v>10.199999999999999</v>
      </c>
      <c r="M1088" t="s">
        <v>149</v>
      </c>
      <c r="N1088">
        <v>1</v>
      </c>
      <c r="O1088">
        <v>3.8</v>
      </c>
      <c r="P1088">
        <v>2</v>
      </c>
      <c r="Q1088">
        <v>900</v>
      </c>
      <c r="R1088">
        <v>0.82624233800000002</v>
      </c>
      <c r="S1088" t="s">
        <v>150</v>
      </c>
      <c r="T1088">
        <v>9</v>
      </c>
      <c r="U1088">
        <v>0</v>
      </c>
      <c r="V1088">
        <v>9</v>
      </c>
      <c r="W1088">
        <v>0</v>
      </c>
      <c r="X1088" t="s">
        <v>149</v>
      </c>
      <c r="Y1088" t="s">
        <v>1019</v>
      </c>
    </row>
    <row r="1089" spans="1:25">
      <c r="A1089" t="s">
        <v>1269</v>
      </c>
      <c r="B1089" s="113">
        <v>45305</v>
      </c>
      <c r="C1089" t="s">
        <v>162</v>
      </c>
      <c r="D1089" t="s">
        <v>187</v>
      </c>
      <c r="E1089">
        <v>52</v>
      </c>
      <c r="F1089">
        <v>798</v>
      </c>
      <c r="G1089" t="s">
        <v>155</v>
      </c>
      <c r="H1089">
        <v>22625.773929999999</v>
      </c>
      <c r="I1089">
        <v>22625.773929999999</v>
      </c>
      <c r="J1089" t="s">
        <v>156</v>
      </c>
      <c r="K1089" t="s">
        <v>156</v>
      </c>
      <c r="L1089">
        <v>0.6</v>
      </c>
      <c r="M1089" t="s">
        <v>149</v>
      </c>
      <c r="N1089">
        <v>1</v>
      </c>
      <c r="O1089">
        <v>1.8</v>
      </c>
      <c r="P1089">
        <v>3</v>
      </c>
      <c r="Q1089">
        <v>1750</v>
      </c>
      <c r="R1089">
        <v>0.90543528699999998</v>
      </c>
      <c r="S1089" t="s">
        <v>198</v>
      </c>
      <c r="Y1089" t="s">
        <v>199</v>
      </c>
    </row>
    <row r="1090" spans="1:25">
      <c r="A1090" t="s">
        <v>1270</v>
      </c>
      <c r="B1090" s="113">
        <v>45309</v>
      </c>
      <c r="C1090" t="s">
        <v>162</v>
      </c>
      <c r="D1090" t="s">
        <v>163</v>
      </c>
      <c r="E1090">
        <v>28</v>
      </c>
      <c r="F1090">
        <v>732</v>
      </c>
      <c r="G1090" t="s">
        <v>147</v>
      </c>
      <c r="H1090">
        <v>29258.921279999999</v>
      </c>
      <c r="I1090">
        <v>29258.921279999999</v>
      </c>
      <c r="J1090" t="s">
        <v>148</v>
      </c>
      <c r="K1090" t="s">
        <v>148</v>
      </c>
      <c r="L1090">
        <v>1.3</v>
      </c>
      <c r="M1090" t="s">
        <v>149</v>
      </c>
      <c r="N1090">
        <v>0</v>
      </c>
      <c r="O1090">
        <v>2.2000000000000002</v>
      </c>
      <c r="P1090">
        <v>2</v>
      </c>
      <c r="Q1090">
        <v>1050</v>
      </c>
      <c r="R1090">
        <v>0.96149850000000003</v>
      </c>
      <c r="S1090" t="s">
        <v>198</v>
      </c>
      <c r="Y1090" t="s">
        <v>199</v>
      </c>
    </row>
    <row r="1091" spans="1:25">
      <c r="A1091" t="s">
        <v>1271</v>
      </c>
      <c r="B1091" s="113">
        <v>45311</v>
      </c>
      <c r="C1091" t="s">
        <v>145</v>
      </c>
      <c r="D1091" t="s">
        <v>213</v>
      </c>
      <c r="E1091">
        <v>68</v>
      </c>
      <c r="F1091">
        <v>731</v>
      </c>
      <c r="G1091" t="s">
        <v>176</v>
      </c>
      <c r="H1091">
        <v>2718747</v>
      </c>
      <c r="I1091">
        <v>2718747</v>
      </c>
      <c r="J1091" t="s">
        <v>249</v>
      </c>
      <c r="K1091" t="s">
        <v>249</v>
      </c>
      <c r="L1091">
        <v>3.5</v>
      </c>
      <c r="M1091" t="s">
        <v>149</v>
      </c>
      <c r="N1091">
        <v>2</v>
      </c>
      <c r="O1091">
        <v>4.2</v>
      </c>
      <c r="P1091">
        <v>4</v>
      </c>
      <c r="Q1091">
        <v>0</v>
      </c>
      <c r="R1091">
        <v>0.99299981699999995</v>
      </c>
      <c r="S1091" t="s">
        <v>198</v>
      </c>
      <c r="T1091">
        <v>0</v>
      </c>
      <c r="U1091">
        <v>0</v>
      </c>
      <c r="V1091">
        <v>0</v>
      </c>
      <c r="W1091">
        <v>0</v>
      </c>
      <c r="X1091" t="s">
        <v>149</v>
      </c>
      <c r="Y1091" t="s">
        <v>199</v>
      </c>
    </row>
    <row r="1092" spans="1:25">
      <c r="A1092" t="s">
        <v>1272</v>
      </c>
      <c r="B1092" s="113">
        <v>45311</v>
      </c>
      <c r="C1092" t="s">
        <v>162</v>
      </c>
      <c r="D1092" t="s">
        <v>195</v>
      </c>
      <c r="E1092">
        <v>30</v>
      </c>
      <c r="F1092">
        <v>601</v>
      </c>
      <c r="G1092" t="s">
        <v>169</v>
      </c>
      <c r="H1092">
        <v>113066.488</v>
      </c>
      <c r="J1092" t="s">
        <v>183</v>
      </c>
      <c r="K1092" t="s">
        <v>183</v>
      </c>
      <c r="L1092">
        <v>0.5</v>
      </c>
      <c r="M1092" t="s">
        <v>149</v>
      </c>
      <c r="N1092">
        <v>4</v>
      </c>
      <c r="O1092">
        <v>0.3</v>
      </c>
      <c r="P1092">
        <v>4</v>
      </c>
      <c r="Q1092">
        <v>1550</v>
      </c>
      <c r="R1092">
        <v>0.99913452300000005</v>
      </c>
      <c r="S1092" t="s">
        <v>150</v>
      </c>
      <c r="T1092">
        <v>9</v>
      </c>
      <c r="U1092">
        <v>0</v>
      </c>
      <c r="V1092">
        <v>9</v>
      </c>
      <c r="W1092">
        <v>0</v>
      </c>
      <c r="X1092" t="s">
        <v>149</v>
      </c>
      <c r="Y1092" t="s">
        <v>1019</v>
      </c>
    </row>
    <row r="1093" spans="1:25">
      <c r="A1093" t="s">
        <v>1273</v>
      </c>
      <c r="B1093" s="113">
        <v>45312</v>
      </c>
      <c r="C1093" t="s">
        <v>162</v>
      </c>
      <c r="D1093" t="s">
        <v>179</v>
      </c>
      <c r="E1093">
        <v>34</v>
      </c>
      <c r="F1093">
        <v>519</v>
      </c>
      <c r="G1093" t="s">
        <v>176</v>
      </c>
      <c r="H1093">
        <v>9931.5910600000007</v>
      </c>
      <c r="J1093" t="s">
        <v>183</v>
      </c>
      <c r="K1093" t="s">
        <v>183</v>
      </c>
      <c r="L1093">
        <v>3.2</v>
      </c>
      <c r="M1093" t="s">
        <v>149</v>
      </c>
      <c r="N1093">
        <v>1</v>
      </c>
      <c r="O1093">
        <v>10.8</v>
      </c>
      <c r="P1093">
        <v>3</v>
      </c>
      <c r="Q1093">
        <v>1800</v>
      </c>
      <c r="R1093">
        <v>0.979745906</v>
      </c>
      <c r="S1093" t="s">
        <v>150</v>
      </c>
      <c r="T1093">
        <v>9</v>
      </c>
      <c r="U1093">
        <v>0</v>
      </c>
      <c r="V1093">
        <v>9</v>
      </c>
      <c r="W1093">
        <v>0</v>
      </c>
      <c r="X1093" t="s">
        <v>149</v>
      </c>
      <c r="Y1093" t="s">
        <v>1019</v>
      </c>
    </row>
    <row r="1094" spans="1:25">
      <c r="A1094" t="s">
        <v>1274</v>
      </c>
      <c r="B1094" s="113">
        <v>45315</v>
      </c>
      <c r="C1094" t="s">
        <v>159</v>
      </c>
      <c r="D1094" t="s">
        <v>168</v>
      </c>
      <c r="E1094">
        <v>36</v>
      </c>
      <c r="F1094">
        <v>732</v>
      </c>
      <c r="G1094" t="s">
        <v>147</v>
      </c>
      <c r="H1094">
        <v>17965.760559999999</v>
      </c>
      <c r="I1094">
        <v>17965.760559999999</v>
      </c>
      <c r="J1094" t="s">
        <v>148</v>
      </c>
      <c r="K1094" t="s">
        <v>148</v>
      </c>
      <c r="L1094">
        <v>5.3</v>
      </c>
      <c r="M1094" t="s">
        <v>149</v>
      </c>
      <c r="N1094">
        <v>2</v>
      </c>
      <c r="O1094">
        <v>1.9</v>
      </c>
      <c r="P1094">
        <v>3</v>
      </c>
      <c r="Q1094">
        <v>950</v>
      </c>
      <c r="R1094">
        <v>0.935329254</v>
      </c>
      <c r="S1094" t="s">
        <v>198</v>
      </c>
      <c r="Y1094" t="s">
        <v>199</v>
      </c>
    </row>
    <row r="1095" spans="1:25">
      <c r="A1095" t="s">
        <v>1275</v>
      </c>
      <c r="B1095" s="113">
        <v>45315</v>
      </c>
      <c r="C1095" t="s">
        <v>145</v>
      </c>
      <c r="D1095" t="s">
        <v>213</v>
      </c>
      <c r="E1095">
        <v>54</v>
      </c>
      <c r="F1095">
        <v>679</v>
      </c>
      <c r="G1095" t="s">
        <v>169</v>
      </c>
      <c r="H1095">
        <v>57952.95624</v>
      </c>
      <c r="I1095">
        <v>57952.95624</v>
      </c>
      <c r="J1095" t="s">
        <v>156</v>
      </c>
      <c r="K1095" t="s">
        <v>156</v>
      </c>
      <c r="L1095">
        <v>0.7</v>
      </c>
      <c r="M1095" t="s">
        <v>149</v>
      </c>
      <c r="N1095">
        <v>1</v>
      </c>
      <c r="O1095">
        <v>7.6</v>
      </c>
      <c r="P1095">
        <v>2</v>
      </c>
      <c r="Q1095">
        <v>1850</v>
      </c>
      <c r="R1095">
        <v>0.86701921100000001</v>
      </c>
      <c r="S1095" t="s">
        <v>150</v>
      </c>
      <c r="T1095">
        <v>9</v>
      </c>
      <c r="U1095">
        <v>0</v>
      </c>
      <c r="V1095">
        <v>9</v>
      </c>
      <c r="W1095">
        <v>0</v>
      </c>
      <c r="X1095" t="s">
        <v>149</v>
      </c>
      <c r="Y1095" t="s">
        <v>1019</v>
      </c>
    </row>
    <row r="1096" spans="1:25">
      <c r="A1096" t="s">
        <v>1276</v>
      </c>
      <c r="B1096" s="113">
        <v>45317</v>
      </c>
      <c r="C1096" t="s">
        <v>162</v>
      </c>
      <c r="D1096" t="s">
        <v>195</v>
      </c>
      <c r="E1096">
        <v>35</v>
      </c>
      <c r="F1096">
        <v>667</v>
      </c>
      <c r="G1096" t="s">
        <v>169</v>
      </c>
      <c r="H1096">
        <v>35951.185570000001</v>
      </c>
      <c r="I1096">
        <v>35951.185570000001</v>
      </c>
      <c r="J1096" t="s">
        <v>148</v>
      </c>
      <c r="K1096" t="s">
        <v>148</v>
      </c>
      <c r="L1096">
        <v>1.1000000000000001</v>
      </c>
      <c r="M1096" t="s">
        <v>149</v>
      </c>
      <c r="N1096">
        <v>2</v>
      </c>
      <c r="O1096">
        <v>1.2</v>
      </c>
      <c r="P1096">
        <v>3</v>
      </c>
      <c r="Q1096">
        <v>1150</v>
      </c>
      <c r="R1096">
        <v>0.77656078799999995</v>
      </c>
      <c r="S1096" t="s">
        <v>198</v>
      </c>
      <c r="Y1096" t="s">
        <v>199</v>
      </c>
    </row>
    <row r="1097" spans="1:25">
      <c r="A1097" t="s">
        <v>1277</v>
      </c>
      <c r="B1097" s="113">
        <v>45323</v>
      </c>
      <c r="C1097" t="s">
        <v>162</v>
      </c>
      <c r="D1097" t="s">
        <v>179</v>
      </c>
      <c r="E1097">
        <v>24</v>
      </c>
      <c r="F1097">
        <v>638</v>
      </c>
      <c r="G1097" t="s">
        <v>147</v>
      </c>
      <c r="H1097">
        <v>32820.359880000004</v>
      </c>
      <c r="I1097">
        <v>32820.359880000004</v>
      </c>
      <c r="J1097" t="s">
        <v>156</v>
      </c>
      <c r="K1097" t="s">
        <v>156</v>
      </c>
      <c r="L1097">
        <v>8.8000000000000007</v>
      </c>
      <c r="M1097" t="s">
        <v>149</v>
      </c>
      <c r="N1097">
        <v>2</v>
      </c>
      <c r="O1097">
        <v>0.5</v>
      </c>
      <c r="P1097">
        <v>3</v>
      </c>
      <c r="Q1097">
        <v>1650</v>
      </c>
      <c r="R1097">
        <v>0.66626478200000006</v>
      </c>
      <c r="S1097" t="s">
        <v>150</v>
      </c>
      <c r="T1097">
        <v>9</v>
      </c>
      <c r="U1097">
        <v>0</v>
      </c>
      <c r="V1097">
        <v>9</v>
      </c>
      <c r="W1097">
        <v>0</v>
      </c>
      <c r="X1097" t="s">
        <v>149</v>
      </c>
      <c r="Y1097" t="s">
        <v>1019</v>
      </c>
    </row>
    <row r="1098" spans="1:25">
      <c r="A1098" t="s">
        <v>1278</v>
      </c>
      <c r="B1098" s="113">
        <v>45323</v>
      </c>
      <c r="C1098" t="s">
        <v>145</v>
      </c>
      <c r="D1098" t="s">
        <v>154</v>
      </c>
      <c r="E1098">
        <v>38</v>
      </c>
      <c r="F1098">
        <v>627</v>
      </c>
      <c r="G1098" t="s">
        <v>147</v>
      </c>
      <c r="H1098">
        <v>55260.724990000002</v>
      </c>
      <c r="J1098" t="s">
        <v>183</v>
      </c>
      <c r="K1098" t="s">
        <v>183</v>
      </c>
      <c r="L1098">
        <v>10.9</v>
      </c>
      <c r="M1098" t="s">
        <v>149</v>
      </c>
      <c r="N1098">
        <v>4</v>
      </c>
      <c r="O1098">
        <v>3.8</v>
      </c>
      <c r="P1098">
        <v>2</v>
      </c>
      <c r="Q1098">
        <v>1000</v>
      </c>
      <c r="R1098">
        <v>0.53894875399999997</v>
      </c>
      <c r="S1098" t="s">
        <v>150</v>
      </c>
      <c r="T1098">
        <v>9</v>
      </c>
      <c r="U1098">
        <v>0</v>
      </c>
      <c r="V1098">
        <v>9</v>
      </c>
      <c r="W1098">
        <v>0</v>
      </c>
      <c r="X1098" t="s">
        <v>149</v>
      </c>
      <c r="Y1098" t="s">
        <v>1019</v>
      </c>
    </row>
    <row r="1099" spans="1:25">
      <c r="A1099" t="s">
        <v>1279</v>
      </c>
      <c r="B1099" s="113">
        <v>45324</v>
      </c>
      <c r="C1099" t="s">
        <v>145</v>
      </c>
      <c r="D1099" t="s">
        <v>213</v>
      </c>
      <c r="E1099">
        <v>61</v>
      </c>
      <c r="F1099">
        <v>751</v>
      </c>
      <c r="G1099" t="s">
        <v>155</v>
      </c>
      <c r="H1099">
        <v>5178397</v>
      </c>
      <c r="I1099">
        <v>5178397</v>
      </c>
      <c r="J1099" t="s">
        <v>221</v>
      </c>
      <c r="K1099" t="s">
        <v>221</v>
      </c>
      <c r="L1099">
        <v>4</v>
      </c>
      <c r="M1099" t="s">
        <v>149</v>
      </c>
      <c r="N1099">
        <v>4</v>
      </c>
      <c r="O1099">
        <v>5.6</v>
      </c>
      <c r="P1099">
        <v>3</v>
      </c>
      <c r="Q1099">
        <v>0</v>
      </c>
      <c r="R1099">
        <v>0.397865046</v>
      </c>
      <c r="S1099" t="s">
        <v>198</v>
      </c>
      <c r="T1099">
        <v>0</v>
      </c>
      <c r="U1099">
        <v>0</v>
      </c>
      <c r="V1099">
        <v>0</v>
      </c>
      <c r="W1099">
        <v>0</v>
      </c>
      <c r="X1099" t="s">
        <v>149</v>
      </c>
      <c r="Y1099" t="s">
        <v>199</v>
      </c>
    </row>
    <row r="1100" spans="1:25">
      <c r="A1100" t="s">
        <v>1280</v>
      </c>
      <c r="B1100" s="113">
        <v>45324</v>
      </c>
      <c r="C1100" t="s">
        <v>145</v>
      </c>
      <c r="D1100" t="s">
        <v>172</v>
      </c>
      <c r="E1100">
        <v>31</v>
      </c>
      <c r="F1100">
        <v>572</v>
      </c>
      <c r="G1100" t="s">
        <v>147</v>
      </c>
      <c r="H1100">
        <v>28620.285459999999</v>
      </c>
      <c r="J1100" t="s">
        <v>148</v>
      </c>
      <c r="K1100" t="s">
        <v>148</v>
      </c>
      <c r="L1100">
        <v>1</v>
      </c>
      <c r="M1100" t="s">
        <v>149</v>
      </c>
      <c r="N1100">
        <v>5</v>
      </c>
      <c r="O1100">
        <v>4.4000000000000004</v>
      </c>
      <c r="P1100">
        <v>3</v>
      </c>
      <c r="Q1100">
        <v>1100</v>
      </c>
      <c r="R1100">
        <v>0.24661770299999999</v>
      </c>
      <c r="S1100" t="s">
        <v>150</v>
      </c>
      <c r="T1100">
        <v>9</v>
      </c>
      <c r="U1100">
        <v>0</v>
      </c>
      <c r="V1100">
        <v>9</v>
      </c>
      <c r="W1100">
        <v>0</v>
      </c>
      <c r="X1100" t="s">
        <v>149</v>
      </c>
      <c r="Y1100" t="s">
        <v>1019</v>
      </c>
    </row>
    <row r="1101" spans="1:25">
      <c r="A1101" t="s">
        <v>1281</v>
      </c>
      <c r="B1101" s="113">
        <v>45324</v>
      </c>
      <c r="C1101" t="s">
        <v>162</v>
      </c>
      <c r="D1101" t="s">
        <v>195</v>
      </c>
      <c r="E1101">
        <v>47</v>
      </c>
      <c r="F1101">
        <v>729</v>
      </c>
      <c r="G1101" t="s">
        <v>176</v>
      </c>
      <c r="H1101">
        <v>74597.905929999994</v>
      </c>
      <c r="I1101">
        <v>74597.905929999994</v>
      </c>
      <c r="J1101" t="s">
        <v>148</v>
      </c>
      <c r="K1101" t="s">
        <v>148</v>
      </c>
      <c r="L1101">
        <v>10.8</v>
      </c>
      <c r="M1101" t="s">
        <v>151</v>
      </c>
      <c r="N1101">
        <v>3</v>
      </c>
      <c r="O1101">
        <v>2.4</v>
      </c>
      <c r="P1101">
        <v>3</v>
      </c>
      <c r="Q1101">
        <v>800</v>
      </c>
      <c r="R1101">
        <v>8.9070405000000005E-2</v>
      </c>
      <c r="S1101" t="s">
        <v>150</v>
      </c>
      <c r="T1101">
        <v>9</v>
      </c>
      <c r="U1101">
        <v>0</v>
      </c>
      <c r="V1101">
        <v>9</v>
      </c>
      <c r="W1101">
        <v>0</v>
      </c>
      <c r="X1101" t="s">
        <v>149</v>
      </c>
      <c r="Y1101" t="s">
        <v>1019</v>
      </c>
    </row>
    <row r="1102" spans="1:25">
      <c r="A1102" t="s">
        <v>1282</v>
      </c>
      <c r="B1102" s="113">
        <v>45324</v>
      </c>
      <c r="C1102" t="s">
        <v>159</v>
      </c>
      <c r="D1102" t="s">
        <v>197</v>
      </c>
      <c r="E1102">
        <v>47</v>
      </c>
      <c r="F1102">
        <v>750</v>
      </c>
      <c r="G1102" t="s">
        <v>176</v>
      </c>
      <c r="H1102">
        <v>85340.689350000001</v>
      </c>
      <c r="I1102">
        <v>85340.689350000001</v>
      </c>
      <c r="J1102" t="s">
        <v>170</v>
      </c>
      <c r="K1102" t="s">
        <v>170</v>
      </c>
      <c r="L1102">
        <v>0.3</v>
      </c>
      <c r="M1102" t="s">
        <v>149</v>
      </c>
      <c r="N1102">
        <v>6</v>
      </c>
      <c r="O1102">
        <v>15.3</v>
      </c>
      <c r="P1102">
        <v>2</v>
      </c>
      <c r="Q1102">
        <v>1600</v>
      </c>
      <c r="R1102">
        <v>7.0752235999999996E-2</v>
      </c>
      <c r="S1102" t="s">
        <v>150</v>
      </c>
      <c r="T1102">
        <v>9</v>
      </c>
      <c r="U1102">
        <v>0</v>
      </c>
      <c r="V1102">
        <v>9</v>
      </c>
      <c r="W1102">
        <v>0</v>
      </c>
      <c r="X1102" t="s">
        <v>149</v>
      </c>
      <c r="Y1102" t="s">
        <v>1019</v>
      </c>
    </row>
    <row r="1103" spans="1:25">
      <c r="A1103" t="s">
        <v>1283</v>
      </c>
      <c r="B1103" s="113">
        <v>45324</v>
      </c>
      <c r="C1103" t="s">
        <v>159</v>
      </c>
      <c r="D1103" t="s">
        <v>197</v>
      </c>
      <c r="E1103">
        <v>29</v>
      </c>
      <c r="F1103">
        <v>738</v>
      </c>
      <c r="G1103" t="s">
        <v>155</v>
      </c>
      <c r="H1103">
        <v>26707.71027</v>
      </c>
      <c r="I1103">
        <v>26707.71027</v>
      </c>
      <c r="J1103" t="s">
        <v>148</v>
      </c>
      <c r="K1103" t="s">
        <v>148</v>
      </c>
      <c r="L1103">
        <v>1.9</v>
      </c>
      <c r="M1103" t="s">
        <v>149</v>
      </c>
      <c r="N1103">
        <v>3</v>
      </c>
      <c r="O1103">
        <v>6.6</v>
      </c>
      <c r="P1103">
        <v>2</v>
      </c>
      <c r="Q1103">
        <v>800</v>
      </c>
      <c r="R1103">
        <v>0.22876748</v>
      </c>
      <c r="S1103" t="s">
        <v>150</v>
      </c>
      <c r="T1103">
        <v>9</v>
      </c>
      <c r="U1103">
        <v>0</v>
      </c>
      <c r="V1103">
        <v>9</v>
      </c>
      <c r="W1103">
        <v>0</v>
      </c>
      <c r="X1103" t="s">
        <v>149</v>
      </c>
      <c r="Y1103" t="s">
        <v>1019</v>
      </c>
    </row>
    <row r="1104" spans="1:25">
      <c r="A1104" t="s">
        <v>1284</v>
      </c>
      <c r="B1104" s="113">
        <v>45325</v>
      </c>
      <c r="C1104" t="s">
        <v>162</v>
      </c>
      <c r="D1104" t="s">
        <v>179</v>
      </c>
      <c r="E1104">
        <v>33</v>
      </c>
      <c r="F1104">
        <v>744</v>
      </c>
      <c r="G1104" t="s">
        <v>147</v>
      </c>
      <c r="H1104">
        <v>170751.4339</v>
      </c>
      <c r="J1104" t="s">
        <v>221</v>
      </c>
      <c r="K1104" t="s">
        <v>221</v>
      </c>
      <c r="L1104">
        <v>0.9</v>
      </c>
      <c r="M1104" t="s">
        <v>149</v>
      </c>
      <c r="N1104">
        <v>2</v>
      </c>
      <c r="O1104">
        <v>2.2999999999999998</v>
      </c>
      <c r="P1104">
        <v>1</v>
      </c>
      <c r="Q1104">
        <v>2100</v>
      </c>
      <c r="R1104">
        <v>0.38093875999999999</v>
      </c>
      <c r="S1104" t="s">
        <v>150</v>
      </c>
      <c r="T1104">
        <v>9</v>
      </c>
      <c r="U1104">
        <v>0</v>
      </c>
      <c r="V1104">
        <v>9</v>
      </c>
      <c r="W1104">
        <v>0</v>
      </c>
      <c r="X1104" t="s">
        <v>149</v>
      </c>
      <c r="Y1104" t="s">
        <v>1019</v>
      </c>
    </row>
    <row r="1105" spans="1:25">
      <c r="A1105" t="s">
        <v>1285</v>
      </c>
      <c r="B1105" s="113">
        <v>45328</v>
      </c>
      <c r="C1105" t="s">
        <v>145</v>
      </c>
      <c r="D1105" t="s">
        <v>154</v>
      </c>
      <c r="E1105">
        <v>49</v>
      </c>
      <c r="F1105">
        <v>802</v>
      </c>
      <c r="G1105" t="s">
        <v>176</v>
      </c>
      <c r="H1105">
        <v>48203.62124</v>
      </c>
      <c r="I1105">
        <v>48203.62124</v>
      </c>
      <c r="J1105" t="s">
        <v>183</v>
      </c>
      <c r="K1105" t="s">
        <v>183</v>
      </c>
      <c r="L1105">
        <v>0.7</v>
      </c>
      <c r="M1105" t="s">
        <v>149</v>
      </c>
      <c r="N1105">
        <v>3</v>
      </c>
      <c r="O1105">
        <v>2.9</v>
      </c>
      <c r="P1105">
        <v>1</v>
      </c>
      <c r="Q1105">
        <v>1300</v>
      </c>
      <c r="R1105">
        <v>0.52337879399999998</v>
      </c>
      <c r="S1105" t="s">
        <v>150</v>
      </c>
      <c r="T1105">
        <v>8</v>
      </c>
      <c r="U1105">
        <v>0</v>
      </c>
      <c r="V1105">
        <v>8</v>
      </c>
      <c r="W1105">
        <v>0</v>
      </c>
      <c r="X1105" t="s">
        <v>149</v>
      </c>
      <c r="Y1105" t="s">
        <v>1019</v>
      </c>
    </row>
    <row r="1106" spans="1:25">
      <c r="A1106" t="s">
        <v>1286</v>
      </c>
      <c r="B1106" s="113">
        <v>45328</v>
      </c>
      <c r="C1106" t="s">
        <v>159</v>
      </c>
      <c r="D1106" t="s">
        <v>197</v>
      </c>
      <c r="E1106">
        <v>63</v>
      </c>
      <c r="F1106">
        <v>795</v>
      </c>
      <c r="G1106" t="s">
        <v>176</v>
      </c>
      <c r="H1106">
        <v>75233.190789999993</v>
      </c>
      <c r="I1106">
        <v>75233.190789999993</v>
      </c>
      <c r="J1106" t="s">
        <v>148</v>
      </c>
      <c r="K1106" t="s">
        <v>148</v>
      </c>
      <c r="L1106">
        <v>0</v>
      </c>
      <c r="M1106" t="s">
        <v>149</v>
      </c>
      <c r="N1106">
        <v>2</v>
      </c>
      <c r="O1106">
        <v>0.5</v>
      </c>
      <c r="P1106">
        <v>2</v>
      </c>
      <c r="Q1106">
        <v>1400</v>
      </c>
      <c r="R1106">
        <v>0.65244888999999995</v>
      </c>
      <c r="S1106" t="s">
        <v>150</v>
      </c>
      <c r="T1106">
        <v>8</v>
      </c>
      <c r="U1106">
        <v>0</v>
      </c>
      <c r="V1106">
        <v>8</v>
      </c>
      <c r="W1106">
        <v>0</v>
      </c>
      <c r="X1106" t="s">
        <v>149</v>
      </c>
      <c r="Y1106" t="s">
        <v>1019</v>
      </c>
    </row>
    <row r="1107" spans="1:25">
      <c r="A1107" t="s">
        <v>1287</v>
      </c>
      <c r="B1107" s="113">
        <v>45328</v>
      </c>
      <c r="C1107" t="s">
        <v>145</v>
      </c>
      <c r="D1107" t="s">
        <v>213</v>
      </c>
      <c r="E1107">
        <v>34</v>
      </c>
      <c r="F1107">
        <v>664</v>
      </c>
      <c r="G1107" t="s">
        <v>176</v>
      </c>
      <c r="H1107">
        <v>15596.27484</v>
      </c>
      <c r="J1107" t="s">
        <v>148</v>
      </c>
      <c r="K1107" t="s">
        <v>148</v>
      </c>
      <c r="L1107">
        <v>1.4</v>
      </c>
      <c r="M1107" t="s">
        <v>149</v>
      </c>
      <c r="N1107">
        <v>4</v>
      </c>
      <c r="O1107">
        <v>7.2</v>
      </c>
      <c r="P1107">
        <v>2</v>
      </c>
      <c r="Q1107">
        <v>1750</v>
      </c>
      <c r="R1107">
        <v>0.764851897</v>
      </c>
      <c r="S1107" t="s">
        <v>150</v>
      </c>
      <c r="T1107">
        <v>8</v>
      </c>
      <c r="U1107">
        <v>0</v>
      </c>
      <c r="V1107">
        <v>8</v>
      </c>
      <c r="W1107">
        <v>0</v>
      </c>
      <c r="X1107" t="s">
        <v>149</v>
      </c>
      <c r="Y1107" t="s">
        <v>1019</v>
      </c>
    </row>
    <row r="1108" spans="1:25">
      <c r="A1108" t="s">
        <v>1288</v>
      </c>
      <c r="B1108" s="113">
        <v>45328</v>
      </c>
      <c r="C1108" t="s">
        <v>162</v>
      </c>
      <c r="D1108" t="s">
        <v>163</v>
      </c>
      <c r="E1108">
        <v>36</v>
      </c>
      <c r="F1108">
        <v>756</v>
      </c>
      <c r="G1108" t="s">
        <v>155</v>
      </c>
      <c r="H1108">
        <v>78736.539659999995</v>
      </c>
      <c r="J1108" t="s">
        <v>148</v>
      </c>
      <c r="K1108" t="s">
        <v>148</v>
      </c>
      <c r="L1108">
        <v>6.5</v>
      </c>
      <c r="M1108" t="s">
        <v>149</v>
      </c>
      <c r="N1108">
        <v>1</v>
      </c>
      <c r="O1108">
        <v>0.5</v>
      </c>
      <c r="P1108">
        <v>2</v>
      </c>
      <c r="Q1108">
        <v>1700</v>
      </c>
      <c r="R1108">
        <v>0.85771642999999997</v>
      </c>
      <c r="S1108" t="s">
        <v>150</v>
      </c>
      <c r="T1108">
        <v>8</v>
      </c>
      <c r="U1108">
        <v>0</v>
      </c>
      <c r="V1108">
        <v>8</v>
      </c>
      <c r="W1108">
        <v>0</v>
      </c>
      <c r="X1108" t="s">
        <v>149</v>
      </c>
      <c r="Y1108" t="s">
        <v>1019</v>
      </c>
    </row>
    <row r="1109" spans="1:25">
      <c r="A1109" t="s">
        <v>1289</v>
      </c>
      <c r="B1109" s="113">
        <v>45329</v>
      </c>
      <c r="C1109" t="s">
        <v>162</v>
      </c>
      <c r="D1109" t="s">
        <v>193</v>
      </c>
      <c r="E1109">
        <v>48</v>
      </c>
      <c r="F1109">
        <v>696</v>
      </c>
      <c r="G1109" t="s">
        <v>155</v>
      </c>
      <c r="H1109">
        <v>147633.5877</v>
      </c>
      <c r="I1109">
        <v>147633.5877</v>
      </c>
      <c r="J1109" t="s">
        <v>156</v>
      </c>
      <c r="K1109" t="s">
        <v>156</v>
      </c>
      <c r="L1109">
        <v>6.7</v>
      </c>
      <c r="M1109" t="s">
        <v>149</v>
      </c>
      <c r="N1109">
        <v>5</v>
      </c>
      <c r="O1109">
        <v>8.1</v>
      </c>
      <c r="P1109">
        <v>4</v>
      </c>
      <c r="Q1109">
        <v>1700</v>
      </c>
      <c r="R1109">
        <v>0.92867022600000004</v>
      </c>
      <c r="S1109" t="s">
        <v>150</v>
      </c>
      <c r="T1109">
        <v>8</v>
      </c>
      <c r="U1109">
        <v>0</v>
      </c>
      <c r="V1109">
        <v>8</v>
      </c>
      <c r="W1109">
        <v>0</v>
      </c>
      <c r="X1109" t="s">
        <v>149</v>
      </c>
      <c r="Y1109" t="s">
        <v>1019</v>
      </c>
    </row>
    <row r="1110" spans="1:25">
      <c r="A1110" t="s">
        <v>1290</v>
      </c>
      <c r="B1110" s="113">
        <v>45331</v>
      </c>
      <c r="C1110" t="s">
        <v>159</v>
      </c>
      <c r="D1110" t="s">
        <v>197</v>
      </c>
      <c r="E1110">
        <v>35</v>
      </c>
      <c r="F1110">
        <v>656</v>
      </c>
      <c r="G1110" t="s">
        <v>169</v>
      </c>
      <c r="H1110">
        <v>67128.980129999996</v>
      </c>
      <c r="I1110">
        <v>67128.980129999996</v>
      </c>
      <c r="J1110" t="s">
        <v>249</v>
      </c>
      <c r="K1110" t="s">
        <v>249</v>
      </c>
      <c r="L1110">
        <v>2.4</v>
      </c>
      <c r="M1110" t="s">
        <v>149</v>
      </c>
      <c r="N1110">
        <v>3</v>
      </c>
      <c r="O1110">
        <v>1.4</v>
      </c>
      <c r="P1110">
        <v>2</v>
      </c>
      <c r="Q1110">
        <v>1250</v>
      </c>
      <c r="R1110">
        <v>0.97590073799999999</v>
      </c>
      <c r="S1110" t="s">
        <v>150</v>
      </c>
      <c r="T1110">
        <v>8</v>
      </c>
      <c r="U1110">
        <v>0</v>
      </c>
      <c r="V1110">
        <v>8</v>
      </c>
      <c r="W1110">
        <v>0</v>
      </c>
      <c r="X1110" t="s">
        <v>149</v>
      </c>
      <c r="Y1110" t="s">
        <v>1019</v>
      </c>
    </row>
    <row r="1111" spans="1:25">
      <c r="A1111" t="s">
        <v>1291</v>
      </c>
      <c r="B1111" s="113">
        <v>45331</v>
      </c>
      <c r="C1111" t="s">
        <v>159</v>
      </c>
      <c r="D1111" t="s">
        <v>168</v>
      </c>
      <c r="E1111">
        <v>35</v>
      </c>
      <c r="F1111">
        <v>777</v>
      </c>
      <c r="G1111" t="s">
        <v>176</v>
      </c>
      <c r="H1111">
        <v>89305.065730000002</v>
      </c>
      <c r="I1111">
        <v>89305.065730000002</v>
      </c>
      <c r="J1111" t="s">
        <v>148</v>
      </c>
      <c r="K1111" t="s">
        <v>148</v>
      </c>
      <c r="L1111">
        <v>6.1</v>
      </c>
      <c r="M1111" t="s">
        <v>149</v>
      </c>
      <c r="N1111">
        <v>5</v>
      </c>
      <c r="O1111">
        <v>2.4</v>
      </c>
      <c r="P1111">
        <v>4</v>
      </c>
      <c r="Q1111">
        <v>1000</v>
      </c>
      <c r="R1111">
        <v>0.99820144399999999</v>
      </c>
      <c r="S1111" t="s">
        <v>150</v>
      </c>
      <c r="T1111">
        <v>8</v>
      </c>
      <c r="U1111">
        <v>0</v>
      </c>
      <c r="V1111">
        <v>8</v>
      </c>
      <c r="W1111">
        <v>0</v>
      </c>
      <c r="X1111" t="s">
        <v>149</v>
      </c>
      <c r="Y1111" t="s">
        <v>1019</v>
      </c>
    </row>
    <row r="1112" spans="1:25">
      <c r="A1112" t="s">
        <v>1292</v>
      </c>
      <c r="B1112" s="113">
        <v>45335</v>
      </c>
      <c r="C1112" t="s">
        <v>162</v>
      </c>
      <c r="D1112" t="s">
        <v>163</v>
      </c>
      <c r="E1112">
        <v>29</v>
      </c>
      <c r="F1112">
        <v>730</v>
      </c>
      <c r="G1112" t="s">
        <v>169</v>
      </c>
      <c r="H1112">
        <v>41793.112099999998</v>
      </c>
      <c r="I1112">
        <v>41793.112099999998</v>
      </c>
      <c r="J1112" t="s">
        <v>148</v>
      </c>
      <c r="K1112" t="s">
        <v>148</v>
      </c>
      <c r="L1112">
        <v>26.6</v>
      </c>
      <c r="M1112" t="s">
        <v>149</v>
      </c>
      <c r="N1112">
        <v>7</v>
      </c>
      <c r="O1112">
        <v>15.7</v>
      </c>
      <c r="P1112">
        <v>3</v>
      </c>
      <c r="Q1112">
        <v>1150</v>
      </c>
      <c r="R1112">
        <v>0.99500266000000004</v>
      </c>
      <c r="S1112" t="s">
        <v>150</v>
      </c>
      <c r="T1112">
        <v>8</v>
      </c>
      <c r="U1112">
        <v>0</v>
      </c>
      <c r="V1112">
        <v>8</v>
      </c>
      <c r="W1112">
        <v>0</v>
      </c>
      <c r="X1112" t="s">
        <v>149</v>
      </c>
      <c r="Y1112" t="s">
        <v>1019</v>
      </c>
    </row>
    <row r="1113" spans="1:25">
      <c r="A1113" t="s">
        <v>1293</v>
      </c>
      <c r="B1113" s="113">
        <v>45336</v>
      </c>
      <c r="C1113" t="s">
        <v>162</v>
      </c>
      <c r="D1113" t="s">
        <v>179</v>
      </c>
      <c r="E1113">
        <v>28</v>
      </c>
      <c r="F1113">
        <v>778</v>
      </c>
      <c r="G1113" t="s">
        <v>155</v>
      </c>
      <c r="H1113">
        <v>47247.234850000001</v>
      </c>
      <c r="J1113" t="s">
        <v>249</v>
      </c>
      <c r="K1113" t="s">
        <v>249</v>
      </c>
      <c r="L1113">
        <v>0</v>
      </c>
      <c r="M1113" t="s">
        <v>149</v>
      </c>
      <c r="N1113">
        <v>0</v>
      </c>
      <c r="O1113">
        <v>0</v>
      </c>
      <c r="P1113">
        <v>3</v>
      </c>
      <c r="Q1113">
        <v>1800</v>
      </c>
      <c r="R1113">
        <v>0.96638610300000005</v>
      </c>
      <c r="S1113" t="s">
        <v>150</v>
      </c>
      <c r="T1113">
        <v>8</v>
      </c>
      <c r="U1113">
        <v>0</v>
      </c>
      <c r="V1113">
        <v>8</v>
      </c>
      <c r="W1113">
        <v>0</v>
      </c>
      <c r="X1113" t="s">
        <v>149</v>
      </c>
      <c r="Y1113" t="s">
        <v>1019</v>
      </c>
    </row>
    <row r="1114" spans="1:25">
      <c r="A1114" t="s">
        <v>1294</v>
      </c>
      <c r="B1114" s="113">
        <v>45337</v>
      </c>
      <c r="C1114" t="s">
        <v>159</v>
      </c>
      <c r="D1114" t="s">
        <v>165</v>
      </c>
      <c r="E1114">
        <v>37</v>
      </c>
      <c r="F1114">
        <v>671</v>
      </c>
      <c r="G1114" t="s">
        <v>147</v>
      </c>
      <c r="H1114">
        <v>38607.619610000002</v>
      </c>
      <c r="I1114">
        <v>38607.619610000002</v>
      </c>
      <c r="J1114" t="s">
        <v>183</v>
      </c>
      <c r="K1114" t="s">
        <v>183</v>
      </c>
      <c r="L1114">
        <v>1.5</v>
      </c>
      <c r="M1114" t="s">
        <v>149</v>
      </c>
      <c r="N1114">
        <v>2</v>
      </c>
      <c r="O1114">
        <v>9.1</v>
      </c>
      <c r="P1114">
        <v>2</v>
      </c>
      <c r="Q1114">
        <v>1200</v>
      </c>
      <c r="R1114">
        <v>0.91308279400000003</v>
      </c>
      <c r="S1114" t="s">
        <v>150</v>
      </c>
      <c r="T1114">
        <v>8</v>
      </c>
      <c r="U1114">
        <v>0</v>
      </c>
      <c r="V1114">
        <v>8</v>
      </c>
      <c r="W1114">
        <v>0</v>
      </c>
      <c r="X1114" t="s">
        <v>149</v>
      </c>
      <c r="Y1114" t="s">
        <v>1019</v>
      </c>
    </row>
    <row r="1115" spans="1:25">
      <c r="A1115" t="s">
        <v>1295</v>
      </c>
      <c r="B1115" s="113">
        <v>45337</v>
      </c>
      <c r="C1115" t="s">
        <v>159</v>
      </c>
      <c r="D1115" t="s">
        <v>165</v>
      </c>
      <c r="E1115">
        <v>46</v>
      </c>
      <c r="F1115">
        <v>636</v>
      </c>
      <c r="G1115" t="s">
        <v>147</v>
      </c>
      <c r="H1115">
        <v>34559.483840000001</v>
      </c>
      <c r="I1115">
        <v>34559.483840000001</v>
      </c>
      <c r="J1115" t="s">
        <v>148</v>
      </c>
      <c r="K1115" t="s">
        <v>148</v>
      </c>
      <c r="L1115">
        <v>4.5999999999999996</v>
      </c>
      <c r="M1115" t="s">
        <v>149</v>
      </c>
      <c r="N1115">
        <v>2</v>
      </c>
      <c r="O1115">
        <v>8.3000000000000007</v>
      </c>
      <c r="P1115">
        <v>4</v>
      </c>
      <c r="Q1115">
        <v>1350</v>
      </c>
      <c r="R1115">
        <v>0.83645438999999999</v>
      </c>
      <c r="S1115" t="s">
        <v>150</v>
      </c>
      <c r="T1115">
        <v>8</v>
      </c>
      <c r="U1115">
        <v>0</v>
      </c>
      <c r="V1115">
        <v>8</v>
      </c>
      <c r="W1115">
        <v>0</v>
      </c>
      <c r="X1115" t="s">
        <v>149</v>
      </c>
      <c r="Y1115" t="s">
        <v>1019</v>
      </c>
    </row>
    <row r="1116" spans="1:25">
      <c r="A1116" t="s">
        <v>1296</v>
      </c>
      <c r="B1116" s="113">
        <v>45338</v>
      </c>
      <c r="C1116" t="s">
        <v>145</v>
      </c>
      <c r="D1116" t="s">
        <v>172</v>
      </c>
      <c r="E1116">
        <v>26</v>
      </c>
      <c r="F1116">
        <v>763</v>
      </c>
      <c r="G1116" t="s">
        <v>155</v>
      </c>
      <c r="H1116">
        <v>82944.277619999993</v>
      </c>
      <c r="I1116">
        <v>82944.277619999993</v>
      </c>
      <c r="J1116" t="s">
        <v>156</v>
      </c>
      <c r="K1116" t="s">
        <v>156</v>
      </c>
      <c r="L1116">
        <v>0.2</v>
      </c>
      <c r="M1116" t="s">
        <v>149</v>
      </c>
      <c r="N1116">
        <v>2</v>
      </c>
      <c r="O1116">
        <v>0.7</v>
      </c>
      <c r="P1116">
        <v>2</v>
      </c>
      <c r="Q1116">
        <v>1850</v>
      </c>
      <c r="R1116">
        <v>0.73845839599999996</v>
      </c>
      <c r="S1116" t="s">
        <v>150</v>
      </c>
      <c r="T1116">
        <v>8</v>
      </c>
      <c r="U1116">
        <v>0</v>
      </c>
      <c r="V1116">
        <v>8</v>
      </c>
      <c r="W1116">
        <v>0</v>
      </c>
      <c r="X1116" t="s">
        <v>149</v>
      </c>
      <c r="Y1116" t="s">
        <v>1019</v>
      </c>
    </row>
    <row r="1117" spans="1:25">
      <c r="A1117" t="s">
        <v>1297</v>
      </c>
      <c r="B1117" s="113">
        <v>45342</v>
      </c>
      <c r="C1117" t="s">
        <v>162</v>
      </c>
      <c r="D1117" t="s">
        <v>187</v>
      </c>
      <c r="E1117">
        <v>45</v>
      </c>
      <c r="F1117">
        <v>764</v>
      </c>
      <c r="G1117" t="s">
        <v>155</v>
      </c>
      <c r="H1117">
        <v>173209.4589</v>
      </c>
      <c r="J1117" t="s">
        <v>156</v>
      </c>
      <c r="K1117" t="s">
        <v>156</v>
      </c>
      <c r="L1117">
        <v>2.7</v>
      </c>
      <c r="M1117" t="s">
        <v>149</v>
      </c>
      <c r="N1117">
        <v>0</v>
      </c>
      <c r="O1117">
        <v>5.4</v>
      </c>
      <c r="P1117">
        <v>3</v>
      </c>
      <c r="Q1117">
        <v>1700</v>
      </c>
      <c r="R1117">
        <v>0.62159816199999995</v>
      </c>
      <c r="S1117" t="s">
        <v>150</v>
      </c>
      <c r="T1117">
        <v>8</v>
      </c>
      <c r="U1117">
        <v>0</v>
      </c>
      <c r="V1117">
        <v>8</v>
      </c>
      <c r="W1117">
        <v>0</v>
      </c>
      <c r="X1117" t="s">
        <v>149</v>
      </c>
      <c r="Y1117" t="s">
        <v>1019</v>
      </c>
    </row>
    <row r="1118" spans="1:25">
      <c r="A1118" t="s">
        <v>1298</v>
      </c>
      <c r="B1118" s="113">
        <v>45343</v>
      </c>
      <c r="C1118" t="s">
        <v>159</v>
      </c>
      <c r="D1118" t="s">
        <v>209</v>
      </c>
      <c r="E1118">
        <v>59</v>
      </c>
      <c r="F1118">
        <v>781</v>
      </c>
      <c r="G1118" t="s">
        <v>169</v>
      </c>
      <c r="H1118">
        <v>21466.578649999999</v>
      </c>
      <c r="I1118">
        <v>21466.578649999999</v>
      </c>
      <c r="J1118" t="s">
        <v>148</v>
      </c>
      <c r="K1118" t="s">
        <v>148</v>
      </c>
      <c r="L1118">
        <v>6.5</v>
      </c>
      <c r="M1118" t="s">
        <v>149</v>
      </c>
      <c r="N1118">
        <v>3</v>
      </c>
      <c r="O1118">
        <v>1.2</v>
      </c>
      <c r="P1118">
        <v>3</v>
      </c>
      <c r="Q1118">
        <v>800</v>
      </c>
      <c r="R1118">
        <v>0.48885893400000002</v>
      </c>
      <c r="S1118" t="s">
        <v>150</v>
      </c>
      <c r="T1118">
        <v>8</v>
      </c>
      <c r="U1118">
        <v>0</v>
      </c>
      <c r="V1118">
        <v>8</v>
      </c>
      <c r="W1118">
        <v>0</v>
      </c>
      <c r="X1118" t="s">
        <v>149</v>
      </c>
      <c r="Y1118" t="s">
        <v>1019</v>
      </c>
    </row>
    <row r="1119" spans="1:25">
      <c r="A1119" t="s">
        <v>1299</v>
      </c>
      <c r="B1119" s="113">
        <v>45345</v>
      </c>
      <c r="C1119" t="s">
        <v>159</v>
      </c>
      <c r="D1119" t="s">
        <v>197</v>
      </c>
      <c r="E1119">
        <v>43</v>
      </c>
      <c r="F1119">
        <v>729</v>
      </c>
      <c r="G1119" t="s">
        <v>147</v>
      </c>
      <c r="H1119">
        <v>143755.4106</v>
      </c>
      <c r="I1119">
        <v>143755.4106</v>
      </c>
      <c r="J1119" t="s">
        <v>249</v>
      </c>
      <c r="K1119" t="s">
        <v>249</v>
      </c>
      <c r="L1119">
        <v>0.4</v>
      </c>
      <c r="M1119" t="s">
        <v>149</v>
      </c>
      <c r="N1119">
        <v>5</v>
      </c>
      <c r="O1119">
        <v>0.7</v>
      </c>
      <c r="P1119">
        <v>3</v>
      </c>
      <c r="Q1119">
        <v>800</v>
      </c>
      <c r="R1119">
        <v>0.34363159199999999</v>
      </c>
      <c r="S1119" t="s">
        <v>150</v>
      </c>
      <c r="T1119">
        <v>8</v>
      </c>
      <c r="U1119">
        <v>0</v>
      </c>
      <c r="V1119">
        <v>8</v>
      </c>
      <c r="W1119">
        <v>0</v>
      </c>
      <c r="X1119" t="s">
        <v>149</v>
      </c>
      <c r="Y1119" t="s">
        <v>1019</v>
      </c>
    </row>
    <row r="1120" spans="1:25">
      <c r="A1120" t="s">
        <v>1300</v>
      </c>
      <c r="B1120" s="113">
        <v>45347</v>
      </c>
      <c r="C1120" t="s">
        <v>162</v>
      </c>
      <c r="D1120" t="s">
        <v>193</v>
      </c>
      <c r="E1120">
        <v>65</v>
      </c>
      <c r="F1120">
        <v>710</v>
      </c>
      <c r="G1120" t="s">
        <v>169</v>
      </c>
      <c r="H1120">
        <v>77136.284809999997</v>
      </c>
      <c r="I1120">
        <v>77136.284809999997</v>
      </c>
      <c r="J1120" t="s">
        <v>148</v>
      </c>
      <c r="K1120" t="s">
        <v>148</v>
      </c>
      <c r="L1120">
        <v>6.1</v>
      </c>
      <c r="M1120" t="s">
        <v>149</v>
      </c>
      <c r="N1120">
        <v>2</v>
      </c>
      <c r="O1120">
        <v>1.5</v>
      </c>
      <c r="P1120">
        <v>2</v>
      </c>
      <c r="Q1120">
        <v>1450</v>
      </c>
      <c r="R1120">
        <v>0.189626033</v>
      </c>
      <c r="S1120" t="s">
        <v>150</v>
      </c>
      <c r="T1120">
        <v>8</v>
      </c>
      <c r="U1120">
        <v>0</v>
      </c>
      <c r="V1120">
        <v>8</v>
      </c>
      <c r="W1120">
        <v>0</v>
      </c>
      <c r="X1120" t="s">
        <v>149</v>
      </c>
      <c r="Y1120" t="s">
        <v>1019</v>
      </c>
    </row>
    <row r="1121" spans="1:25">
      <c r="A1121" t="s">
        <v>1301</v>
      </c>
      <c r="B1121" s="113">
        <v>45348</v>
      </c>
      <c r="C1121" t="s">
        <v>162</v>
      </c>
      <c r="D1121" t="s">
        <v>187</v>
      </c>
      <c r="E1121">
        <v>33</v>
      </c>
      <c r="F1121">
        <v>755</v>
      </c>
      <c r="G1121" t="s">
        <v>147</v>
      </c>
      <c r="H1121">
        <v>61403.663269999997</v>
      </c>
      <c r="I1121">
        <v>61403.663269999997</v>
      </c>
      <c r="J1121" t="s">
        <v>148</v>
      </c>
      <c r="K1121" t="s">
        <v>148</v>
      </c>
      <c r="L1121">
        <v>2.6</v>
      </c>
      <c r="M1121" t="s">
        <v>149</v>
      </c>
      <c r="N1121">
        <v>3</v>
      </c>
      <c r="O1121">
        <v>0.3</v>
      </c>
      <c r="P1121">
        <v>1</v>
      </c>
      <c r="Q1121">
        <v>1500</v>
      </c>
      <c r="R1121">
        <v>3.0776393999999999E-2</v>
      </c>
      <c r="S1121" t="s">
        <v>150</v>
      </c>
      <c r="T1121">
        <v>8</v>
      </c>
      <c r="U1121">
        <v>0</v>
      </c>
      <c r="V1121">
        <v>8</v>
      </c>
      <c r="W1121">
        <v>0</v>
      </c>
      <c r="X1121" t="s">
        <v>149</v>
      </c>
      <c r="Y1121" t="s">
        <v>1019</v>
      </c>
    </row>
    <row r="1122" spans="1:25">
      <c r="A1122" t="s">
        <v>1302</v>
      </c>
      <c r="B1122" s="113">
        <v>45349</v>
      </c>
      <c r="C1122" t="s">
        <v>159</v>
      </c>
      <c r="D1122" t="s">
        <v>168</v>
      </c>
      <c r="E1122">
        <v>47</v>
      </c>
      <c r="F1122">
        <v>661</v>
      </c>
      <c r="G1122" t="s">
        <v>155</v>
      </c>
      <c r="H1122">
        <v>19657.757379999999</v>
      </c>
      <c r="J1122" t="s">
        <v>148</v>
      </c>
      <c r="K1122" t="s">
        <v>148</v>
      </c>
      <c r="L1122">
        <v>1.9</v>
      </c>
      <c r="M1122" t="s">
        <v>151</v>
      </c>
      <c r="N1122">
        <v>2</v>
      </c>
      <c r="O1122">
        <v>1.8</v>
      </c>
      <c r="P1122">
        <v>4</v>
      </c>
      <c r="Q1122">
        <v>1550</v>
      </c>
      <c r="R1122">
        <v>0.12885944099999999</v>
      </c>
      <c r="S1122" t="s">
        <v>150</v>
      </c>
      <c r="T1122">
        <v>8</v>
      </c>
      <c r="U1122">
        <v>0</v>
      </c>
      <c r="V1122">
        <v>8</v>
      </c>
      <c r="W1122">
        <v>0</v>
      </c>
      <c r="X1122" t="s">
        <v>149</v>
      </c>
      <c r="Y1122" t="s">
        <v>1019</v>
      </c>
    </row>
    <row r="1123" spans="1:25">
      <c r="A1123" t="s">
        <v>1303</v>
      </c>
      <c r="B1123" s="113">
        <v>45349</v>
      </c>
      <c r="C1123" t="s">
        <v>162</v>
      </c>
      <c r="D1123" t="s">
        <v>193</v>
      </c>
      <c r="E1123">
        <v>43</v>
      </c>
      <c r="F1123">
        <v>751</v>
      </c>
      <c r="G1123" t="s">
        <v>176</v>
      </c>
      <c r="H1123">
        <v>76971.905360000004</v>
      </c>
      <c r="I1123">
        <v>76971.905360000004</v>
      </c>
      <c r="J1123" t="s">
        <v>148</v>
      </c>
      <c r="K1123" t="s">
        <v>148</v>
      </c>
      <c r="L1123">
        <v>22.6</v>
      </c>
      <c r="M1123" t="s">
        <v>149</v>
      </c>
      <c r="N1123">
        <v>2</v>
      </c>
      <c r="O1123">
        <v>8.6</v>
      </c>
      <c r="P1123">
        <v>3</v>
      </c>
      <c r="Q1123">
        <v>1800</v>
      </c>
      <c r="R1123">
        <v>0.28520350500000002</v>
      </c>
      <c r="S1123" t="s">
        <v>150</v>
      </c>
      <c r="T1123">
        <v>8</v>
      </c>
      <c r="U1123">
        <v>0</v>
      </c>
      <c r="V1123">
        <v>8</v>
      </c>
      <c r="W1123">
        <v>0</v>
      </c>
      <c r="X1123" t="s">
        <v>149</v>
      </c>
      <c r="Y1123" t="s">
        <v>1019</v>
      </c>
    </row>
    <row r="1124" spans="1:25">
      <c r="A1124" t="s">
        <v>1304</v>
      </c>
      <c r="B1124" s="113">
        <v>45350</v>
      </c>
      <c r="C1124" t="s">
        <v>162</v>
      </c>
      <c r="D1124" t="s">
        <v>179</v>
      </c>
      <c r="E1124">
        <v>29</v>
      </c>
      <c r="F1124">
        <v>808</v>
      </c>
      <c r="G1124" t="s">
        <v>169</v>
      </c>
      <c r="H1124">
        <v>62391.648930000003</v>
      </c>
      <c r="J1124" t="s">
        <v>148</v>
      </c>
      <c r="K1124" t="s">
        <v>148</v>
      </c>
      <c r="L1124">
        <v>1.3</v>
      </c>
      <c r="M1124" t="s">
        <v>149</v>
      </c>
      <c r="N1124">
        <v>0</v>
      </c>
      <c r="O1124">
        <v>4.5999999999999996</v>
      </c>
      <c r="P1124">
        <v>3</v>
      </c>
      <c r="Q1124">
        <v>1500</v>
      </c>
      <c r="R1124">
        <v>0.43426192299999999</v>
      </c>
      <c r="S1124" t="s">
        <v>150</v>
      </c>
      <c r="T1124">
        <v>8</v>
      </c>
      <c r="U1124">
        <v>0</v>
      </c>
      <c r="V1124">
        <v>8</v>
      </c>
      <c r="W1124">
        <v>0</v>
      </c>
      <c r="X1124" t="s">
        <v>149</v>
      </c>
      <c r="Y1124" t="s">
        <v>1019</v>
      </c>
    </row>
    <row r="1125" spans="1:25">
      <c r="A1125" t="s">
        <v>1305</v>
      </c>
      <c r="B1125" s="113">
        <v>45351</v>
      </c>
      <c r="C1125" t="s">
        <v>159</v>
      </c>
      <c r="D1125" t="s">
        <v>197</v>
      </c>
      <c r="E1125">
        <v>44</v>
      </c>
      <c r="F1125">
        <v>743</v>
      </c>
      <c r="G1125" t="s">
        <v>169</v>
      </c>
      <c r="H1125">
        <v>59779.372320000002</v>
      </c>
      <c r="J1125" t="s">
        <v>148</v>
      </c>
      <c r="K1125" t="s">
        <v>148</v>
      </c>
      <c r="L1125">
        <v>2.8</v>
      </c>
      <c r="M1125" t="s">
        <v>149</v>
      </c>
      <c r="N1125">
        <v>1</v>
      </c>
      <c r="O1125">
        <v>9.3000000000000007</v>
      </c>
      <c r="P1125">
        <v>2</v>
      </c>
      <c r="Q1125">
        <v>1000</v>
      </c>
      <c r="R1125">
        <v>0.57222693199999997</v>
      </c>
      <c r="S1125" t="s">
        <v>150</v>
      </c>
      <c r="T1125">
        <v>8</v>
      </c>
      <c r="U1125">
        <v>0</v>
      </c>
      <c r="V1125">
        <v>8</v>
      </c>
      <c r="W1125">
        <v>0</v>
      </c>
      <c r="X1125" t="s">
        <v>149</v>
      </c>
      <c r="Y1125" t="s">
        <v>1019</v>
      </c>
    </row>
    <row r="1126" spans="1:25">
      <c r="A1126" t="s">
        <v>1306</v>
      </c>
      <c r="B1126" s="113">
        <v>45354</v>
      </c>
      <c r="C1126" t="s">
        <v>162</v>
      </c>
      <c r="D1126" t="s">
        <v>187</v>
      </c>
      <c r="E1126">
        <v>26</v>
      </c>
      <c r="F1126">
        <v>786</v>
      </c>
      <c r="G1126" t="s">
        <v>169</v>
      </c>
      <c r="H1126">
        <v>104978.6584</v>
      </c>
      <c r="I1126">
        <v>104978.6584</v>
      </c>
      <c r="J1126" t="s">
        <v>148</v>
      </c>
      <c r="K1126" t="s">
        <v>148</v>
      </c>
      <c r="L1126">
        <v>8.9</v>
      </c>
      <c r="M1126" t="s">
        <v>149</v>
      </c>
      <c r="N1126">
        <v>2</v>
      </c>
      <c r="O1126">
        <v>2.8</v>
      </c>
      <c r="P1126">
        <v>3</v>
      </c>
      <c r="Q1126">
        <v>1300</v>
      </c>
      <c r="R1126">
        <v>0.69557415499999997</v>
      </c>
      <c r="S1126" t="s">
        <v>150</v>
      </c>
      <c r="T1126">
        <v>8</v>
      </c>
      <c r="U1126">
        <v>0</v>
      </c>
      <c r="V1126">
        <v>8</v>
      </c>
      <c r="W1126">
        <v>0</v>
      </c>
      <c r="X1126" t="s">
        <v>149</v>
      </c>
      <c r="Y1126" t="s">
        <v>1019</v>
      </c>
    </row>
    <row r="1127" spans="1:25">
      <c r="A1127" t="s">
        <v>1307</v>
      </c>
      <c r="B1127" s="113">
        <v>45356</v>
      </c>
      <c r="C1127" t="s">
        <v>145</v>
      </c>
      <c r="D1127" t="s">
        <v>172</v>
      </c>
      <c r="E1127">
        <v>35</v>
      </c>
      <c r="F1127">
        <v>540</v>
      </c>
      <c r="G1127" t="s">
        <v>169</v>
      </c>
      <c r="H1127">
        <v>37015.665379999999</v>
      </c>
      <c r="J1127" t="s">
        <v>148</v>
      </c>
      <c r="K1127" t="s">
        <v>148</v>
      </c>
      <c r="L1127">
        <v>10.4</v>
      </c>
      <c r="M1127" t="s">
        <v>149</v>
      </c>
      <c r="N1127">
        <v>2</v>
      </c>
      <c r="O1127">
        <v>2.8</v>
      </c>
      <c r="P1127">
        <v>3</v>
      </c>
      <c r="Q1127">
        <v>1550</v>
      </c>
      <c r="R1127">
        <v>0.80115263599999997</v>
      </c>
      <c r="S1127" t="s">
        <v>150</v>
      </c>
      <c r="T1127">
        <v>8</v>
      </c>
      <c r="U1127">
        <v>0</v>
      </c>
      <c r="V1127">
        <v>8</v>
      </c>
      <c r="W1127">
        <v>0</v>
      </c>
      <c r="X1127" t="s">
        <v>149</v>
      </c>
      <c r="Y1127" t="s">
        <v>1019</v>
      </c>
    </row>
    <row r="1128" spans="1:25">
      <c r="A1128" t="s">
        <v>1308</v>
      </c>
      <c r="B1128" s="113">
        <v>45357</v>
      </c>
      <c r="C1128" t="s">
        <v>145</v>
      </c>
      <c r="D1128" t="s">
        <v>146</v>
      </c>
      <c r="E1128">
        <v>47</v>
      </c>
      <c r="F1128">
        <v>672</v>
      </c>
      <c r="G1128" t="s">
        <v>147</v>
      </c>
      <c r="H1128">
        <v>26384.21027</v>
      </c>
      <c r="I1128">
        <v>26384.21027</v>
      </c>
      <c r="J1128" t="s">
        <v>170</v>
      </c>
      <c r="K1128" t="s">
        <v>170</v>
      </c>
      <c r="L1128">
        <v>2.1</v>
      </c>
      <c r="M1128" t="s">
        <v>149</v>
      </c>
      <c r="N1128">
        <v>3</v>
      </c>
      <c r="O1128">
        <v>2.2000000000000002</v>
      </c>
      <c r="P1128">
        <v>1</v>
      </c>
      <c r="Q1128">
        <v>1250</v>
      </c>
      <c r="R1128">
        <v>0.88626532499999999</v>
      </c>
      <c r="S1128" t="s">
        <v>150</v>
      </c>
      <c r="T1128">
        <v>7</v>
      </c>
      <c r="U1128">
        <v>0</v>
      </c>
      <c r="V1128">
        <v>7</v>
      </c>
      <c r="W1128">
        <v>0</v>
      </c>
      <c r="X1128" t="s">
        <v>149</v>
      </c>
      <c r="Y1128" t="s">
        <v>1019</v>
      </c>
    </row>
    <row r="1129" spans="1:25">
      <c r="A1129" t="s">
        <v>1309</v>
      </c>
      <c r="B1129" s="113">
        <v>45358</v>
      </c>
      <c r="C1129" t="s">
        <v>159</v>
      </c>
      <c r="D1129" t="s">
        <v>165</v>
      </c>
      <c r="E1129">
        <v>42</v>
      </c>
      <c r="F1129">
        <v>754</v>
      </c>
      <c r="G1129" t="s">
        <v>176</v>
      </c>
      <c r="H1129">
        <v>14622.12867</v>
      </c>
      <c r="I1129">
        <v>14622.12867</v>
      </c>
      <c r="J1129" t="s">
        <v>148</v>
      </c>
      <c r="K1129" t="s">
        <v>148</v>
      </c>
      <c r="L1129">
        <v>4.5999999999999996</v>
      </c>
      <c r="M1129" t="s">
        <v>149</v>
      </c>
      <c r="N1129">
        <v>3</v>
      </c>
      <c r="O1129">
        <v>3</v>
      </c>
      <c r="P1129">
        <v>3</v>
      </c>
      <c r="Q1129">
        <v>1100</v>
      </c>
      <c r="R1129">
        <v>0.94873798300000001</v>
      </c>
      <c r="S1129" t="s">
        <v>198</v>
      </c>
      <c r="Y1129" t="s">
        <v>199</v>
      </c>
    </row>
    <row r="1130" spans="1:25">
      <c r="A1130" t="s">
        <v>1310</v>
      </c>
      <c r="B1130" s="113">
        <v>45359</v>
      </c>
      <c r="C1130" t="s">
        <v>162</v>
      </c>
      <c r="D1130" t="s">
        <v>163</v>
      </c>
      <c r="E1130">
        <v>37</v>
      </c>
      <c r="F1130">
        <v>686</v>
      </c>
      <c r="G1130" t="s">
        <v>169</v>
      </c>
      <c r="H1130">
        <v>41075.757169999997</v>
      </c>
      <c r="I1130">
        <v>41075.757169999997</v>
      </c>
      <c r="J1130" t="s">
        <v>712</v>
      </c>
      <c r="K1130" t="s">
        <v>148</v>
      </c>
      <c r="L1130">
        <v>8.3000000000000007</v>
      </c>
      <c r="M1130" t="s">
        <v>149</v>
      </c>
      <c r="N1130">
        <v>1</v>
      </c>
      <c r="O1130">
        <v>2.7</v>
      </c>
      <c r="P1130">
        <v>3</v>
      </c>
      <c r="Q1130">
        <v>1300</v>
      </c>
      <c r="R1130">
        <v>0.98697471800000003</v>
      </c>
      <c r="S1130" t="s">
        <v>150</v>
      </c>
      <c r="T1130">
        <v>7</v>
      </c>
      <c r="U1130">
        <v>1</v>
      </c>
      <c r="V1130">
        <v>7</v>
      </c>
      <c r="W1130">
        <v>0</v>
      </c>
      <c r="X1130" t="s">
        <v>149</v>
      </c>
      <c r="Y1130" t="s">
        <v>1019</v>
      </c>
    </row>
    <row r="1131" spans="1:25">
      <c r="A1131" t="s">
        <v>1311</v>
      </c>
      <c r="B1131" s="113">
        <v>45360</v>
      </c>
      <c r="C1131" t="s">
        <v>162</v>
      </c>
      <c r="D1131" t="s">
        <v>193</v>
      </c>
      <c r="E1131">
        <v>46</v>
      </c>
      <c r="F1131">
        <v>838</v>
      </c>
      <c r="G1131" t="s">
        <v>176</v>
      </c>
      <c r="H1131">
        <v>64010.208859999999</v>
      </c>
      <c r="I1131">
        <v>64010.208859999999</v>
      </c>
      <c r="J1131" t="s">
        <v>148</v>
      </c>
      <c r="K1131" t="s">
        <v>148</v>
      </c>
      <c r="L1131">
        <v>5.0999999999999996</v>
      </c>
      <c r="M1131" t="s">
        <v>149</v>
      </c>
      <c r="N1131">
        <v>3</v>
      </c>
      <c r="O1131">
        <v>4.5999999999999996</v>
      </c>
      <c r="P1131">
        <v>3</v>
      </c>
      <c r="Q1131">
        <v>1500</v>
      </c>
      <c r="R1131">
        <v>0.99999875599999999</v>
      </c>
      <c r="S1131" t="s">
        <v>150</v>
      </c>
      <c r="T1131">
        <v>7</v>
      </c>
      <c r="U1131">
        <v>0</v>
      </c>
      <c r="V1131">
        <v>7</v>
      </c>
      <c r="W1131">
        <v>0</v>
      </c>
      <c r="X1131" t="s">
        <v>149</v>
      </c>
      <c r="Y1131" t="s">
        <v>1019</v>
      </c>
    </row>
    <row r="1132" spans="1:25">
      <c r="A1132" t="s">
        <v>1312</v>
      </c>
      <c r="B1132" s="113">
        <v>45367</v>
      </c>
      <c r="C1132" t="s">
        <v>159</v>
      </c>
      <c r="D1132" t="s">
        <v>209</v>
      </c>
      <c r="E1132">
        <v>36</v>
      </c>
      <c r="F1132">
        <v>648</v>
      </c>
      <c r="G1132" t="s">
        <v>176</v>
      </c>
      <c r="H1132">
        <v>41234.25462</v>
      </c>
      <c r="I1132">
        <v>41234.25462</v>
      </c>
      <c r="J1132" t="s">
        <v>148</v>
      </c>
      <c r="K1132" t="s">
        <v>148</v>
      </c>
      <c r="L1132">
        <v>4.8</v>
      </c>
      <c r="M1132" t="s">
        <v>149</v>
      </c>
      <c r="N1132">
        <v>2</v>
      </c>
      <c r="O1132">
        <v>15.2</v>
      </c>
      <c r="P1132">
        <v>4</v>
      </c>
      <c r="Q1132">
        <v>1450</v>
      </c>
      <c r="R1132">
        <v>0.98747739199999995</v>
      </c>
      <c r="S1132" t="s">
        <v>198</v>
      </c>
      <c r="Y1132" t="s">
        <v>199</v>
      </c>
    </row>
    <row r="1133" spans="1:25">
      <c r="A1133" t="s">
        <v>1313</v>
      </c>
      <c r="B1133" s="113">
        <v>45368</v>
      </c>
      <c r="C1133" t="s">
        <v>145</v>
      </c>
      <c r="D1133" t="s">
        <v>213</v>
      </c>
      <c r="E1133">
        <v>48</v>
      </c>
      <c r="F1133">
        <v>547</v>
      </c>
      <c r="G1133" t="s">
        <v>147</v>
      </c>
      <c r="H1133">
        <v>27192.591120000001</v>
      </c>
      <c r="I1133">
        <v>27192.591120000001</v>
      </c>
      <c r="J1133" t="s">
        <v>148</v>
      </c>
      <c r="K1133" t="s">
        <v>148</v>
      </c>
      <c r="L1133">
        <v>3.1</v>
      </c>
      <c r="M1133" t="s">
        <v>149</v>
      </c>
      <c r="N1133">
        <v>5</v>
      </c>
      <c r="O1133">
        <v>0.6</v>
      </c>
      <c r="P1133">
        <v>3</v>
      </c>
      <c r="Q1133">
        <v>800</v>
      </c>
      <c r="R1133">
        <v>0.94973049099999995</v>
      </c>
      <c r="S1133" t="s">
        <v>150</v>
      </c>
      <c r="T1133">
        <v>7</v>
      </c>
      <c r="U1133">
        <v>0</v>
      </c>
      <c r="V1133">
        <v>7</v>
      </c>
      <c r="W1133">
        <v>0</v>
      </c>
      <c r="X1133" t="s">
        <v>149</v>
      </c>
      <c r="Y1133" t="s">
        <v>1019</v>
      </c>
    </row>
    <row r="1134" spans="1:25">
      <c r="A1134" t="s">
        <v>1314</v>
      </c>
      <c r="B1134" s="113">
        <v>45369</v>
      </c>
      <c r="C1134" t="s">
        <v>159</v>
      </c>
      <c r="D1134" t="s">
        <v>160</v>
      </c>
      <c r="E1134">
        <v>56</v>
      </c>
      <c r="F1134">
        <v>668</v>
      </c>
      <c r="G1134" t="s">
        <v>147</v>
      </c>
      <c r="H1134">
        <v>36143.391620000002</v>
      </c>
      <c r="I1134">
        <v>36143.391620000002</v>
      </c>
      <c r="J1134" t="s">
        <v>148</v>
      </c>
      <c r="K1134" t="s">
        <v>148</v>
      </c>
      <c r="L1134">
        <v>6</v>
      </c>
      <c r="M1134" t="s">
        <v>149</v>
      </c>
      <c r="N1134">
        <v>2</v>
      </c>
      <c r="O1134">
        <v>5.6</v>
      </c>
      <c r="P1134">
        <v>3</v>
      </c>
      <c r="Q1134">
        <v>1000</v>
      </c>
      <c r="R1134">
        <v>0.88772231300000004</v>
      </c>
      <c r="S1134" t="s">
        <v>150</v>
      </c>
      <c r="T1134">
        <v>7</v>
      </c>
      <c r="U1134">
        <v>0</v>
      </c>
      <c r="V1134">
        <v>7</v>
      </c>
      <c r="W1134">
        <v>0</v>
      </c>
      <c r="X1134" t="s">
        <v>149</v>
      </c>
      <c r="Y1134" t="s">
        <v>1019</v>
      </c>
    </row>
    <row r="1135" spans="1:25">
      <c r="A1135" t="s">
        <v>1315</v>
      </c>
      <c r="B1135" s="113">
        <v>45369</v>
      </c>
      <c r="C1135" t="s">
        <v>159</v>
      </c>
      <c r="D1135" t="s">
        <v>197</v>
      </c>
      <c r="E1135">
        <v>42</v>
      </c>
      <c r="F1135">
        <v>831</v>
      </c>
      <c r="G1135" t="s">
        <v>147</v>
      </c>
      <c r="H1135">
        <v>101163.6468</v>
      </c>
      <c r="J1135" t="s">
        <v>148</v>
      </c>
      <c r="K1135" t="s">
        <v>148</v>
      </c>
      <c r="L1135">
        <v>1.3</v>
      </c>
      <c r="M1135" t="s">
        <v>149</v>
      </c>
      <c r="N1135">
        <v>3</v>
      </c>
      <c r="O1135">
        <v>9.5</v>
      </c>
      <c r="P1135">
        <v>3</v>
      </c>
      <c r="Q1135">
        <v>1450</v>
      </c>
      <c r="R1135">
        <v>0.80303688399999995</v>
      </c>
      <c r="S1135" t="s">
        <v>150</v>
      </c>
      <c r="T1135">
        <v>7</v>
      </c>
      <c r="U1135">
        <v>0</v>
      </c>
      <c r="V1135">
        <v>7</v>
      </c>
      <c r="W1135">
        <v>0</v>
      </c>
      <c r="X1135" t="s">
        <v>149</v>
      </c>
      <c r="Y1135" t="s">
        <v>1019</v>
      </c>
    </row>
    <row r="1136" spans="1:25">
      <c r="A1136" t="s">
        <v>1316</v>
      </c>
      <c r="B1136" s="113">
        <v>45370</v>
      </c>
      <c r="C1136" t="s">
        <v>162</v>
      </c>
      <c r="D1136" t="s">
        <v>193</v>
      </c>
      <c r="E1136">
        <v>63</v>
      </c>
      <c r="F1136">
        <v>560</v>
      </c>
      <c r="G1136" t="s">
        <v>147</v>
      </c>
      <c r="H1136">
        <v>43372.196660000001</v>
      </c>
      <c r="I1136">
        <v>43372.196660000001</v>
      </c>
      <c r="J1136" t="s">
        <v>148</v>
      </c>
      <c r="K1136" t="s">
        <v>148</v>
      </c>
      <c r="L1136">
        <v>2.6</v>
      </c>
      <c r="M1136" t="s">
        <v>149</v>
      </c>
      <c r="N1136">
        <v>4</v>
      </c>
      <c r="O1136">
        <v>8.5</v>
      </c>
      <c r="P1136">
        <v>2</v>
      </c>
      <c r="Q1136">
        <v>1950</v>
      </c>
      <c r="R1136">
        <v>0.69783753000000004</v>
      </c>
      <c r="S1136" t="s">
        <v>150</v>
      </c>
      <c r="T1136">
        <v>7</v>
      </c>
      <c r="U1136">
        <v>0</v>
      </c>
      <c r="V1136">
        <v>7</v>
      </c>
      <c r="W1136">
        <v>0</v>
      </c>
      <c r="X1136" t="s">
        <v>149</v>
      </c>
      <c r="Y1136" t="s">
        <v>1019</v>
      </c>
    </row>
    <row r="1137" spans="1:25">
      <c r="A1137" t="s">
        <v>1317</v>
      </c>
      <c r="B1137" s="113">
        <v>45370</v>
      </c>
      <c r="C1137" t="s">
        <v>162</v>
      </c>
      <c r="D1137" t="s">
        <v>190</v>
      </c>
      <c r="E1137">
        <v>27</v>
      </c>
      <c r="F1137">
        <v>641</v>
      </c>
      <c r="G1137" t="s">
        <v>176</v>
      </c>
      <c r="H1137">
        <v>52316.908100000001</v>
      </c>
      <c r="I1137">
        <v>52316.908100000001</v>
      </c>
      <c r="J1137" t="s">
        <v>148</v>
      </c>
      <c r="K1137" t="s">
        <v>148</v>
      </c>
      <c r="L1137">
        <v>3.3</v>
      </c>
      <c r="M1137" t="s">
        <v>149</v>
      </c>
      <c r="N1137">
        <v>7</v>
      </c>
      <c r="O1137">
        <v>1</v>
      </c>
      <c r="P1137">
        <v>2</v>
      </c>
      <c r="Q1137">
        <v>1100</v>
      </c>
      <c r="R1137">
        <v>0.57481161300000005</v>
      </c>
      <c r="S1137" t="s">
        <v>150</v>
      </c>
      <c r="T1137">
        <v>7</v>
      </c>
      <c r="U1137">
        <v>1</v>
      </c>
      <c r="V1137">
        <v>7</v>
      </c>
      <c r="W1137">
        <v>0</v>
      </c>
      <c r="X1137" t="s">
        <v>149</v>
      </c>
      <c r="Y1137" t="s">
        <v>1019</v>
      </c>
    </row>
    <row r="1138" spans="1:25">
      <c r="A1138" t="s">
        <v>1318</v>
      </c>
      <c r="B1138" s="113">
        <v>45370</v>
      </c>
      <c r="C1138" t="s">
        <v>159</v>
      </c>
      <c r="D1138" t="s">
        <v>168</v>
      </c>
      <c r="E1138">
        <v>32</v>
      </c>
      <c r="F1138">
        <v>630</v>
      </c>
      <c r="G1138" t="s">
        <v>147</v>
      </c>
      <c r="H1138">
        <v>50603.531940000001</v>
      </c>
      <c r="J1138" t="s">
        <v>221</v>
      </c>
      <c r="K1138" t="s">
        <v>221</v>
      </c>
      <c r="L1138">
        <v>4</v>
      </c>
      <c r="M1138" t="s">
        <v>149</v>
      </c>
      <c r="N1138">
        <v>4</v>
      </c>
      <c r="O1138">
        <v>6.6</v>
      </c>
      <c r="P1138">
        <v>3</v>
      </c>
      <c r="Q1138">
        <v>1500</v>
      </c>
      <c r="R1138">
        <v>0.43710188500000002</v>
      </c>
      <c r="S1138" t="s">
        <v>150</v>
      </c>
      <c r="T1138">
        <v>7</v>
      </c>
      <c r="U1138">
        <v>0</v>
      </c>
      <c r="V1138">
        <v>7</v>
      </c>
      <c r="W1138">
        <v>0</v>
      </c>
      <c r="X1138" t="s">
        <v>149</v>
      </c>
      <c r="Y1138" t="s">
        <v>1019</v>
      </c>
    </row>
    <row r="1139" spans="1:25">
      <c r="A1139" t="s">
        <v>1319</v>
      </c>
      <c r="B1139" s="113">
        <v>45371</v>
      </c>
      <c r="C1139" t="s">
        <v>159</v>
      </c>
      <c r="D1139" t="s">
        <v>165</v>
      </c>
      <c r="E1139">
        <v>29</v>
      </c>
      <c r="F1139">
        <v>810</v>
      </c>
      <c r="G1139" t="s">
        <v>176</v>
      </c>
      <c r="H1139">
        <v>50545.586150000003</v>
      </c>
      <c r="J1139" t="s">
        <v>181</v>
      </c>
      <c r="K1139" t="s">
        <v>166</v>
      </c>
      <c r="L1139">
        <v>0.5</v>
      </c>
      <c r="M1139" t="s">
        <v>149</v>
      </c>
      <c r="N1139">
        <v>2</v>
      </c>
      <c r="O1139">
        <v>10.1</v>
      </c>
      <c r="P1139">
        <v>2</v>
      </c>
      <c r="Q1139">
        <v>900</v>
      </c>
      <c r="R1139">
        <v>0.28822619999999999</v>
      </c>
      <c r="S1139" t="s">
        <v>150</v>
      </c>
      <c r="T1139">
        <v>7</v>
      </c>
      <c r="U1139">
        <v>0</v>
      </c>
      <c r="V1139">
        <v>7</v>
      </c>
      <c r="W1139">
        <v>0</v>
      </c>
      <c r="X1139" t="s">
        <v>149</v>
      </c>
      <c r="Y1139" t="s">
        <v>1019</v>
      </c>
    </row>
    <row r="1140" spans="1:25">
      <c r="A1140" t="s">
        <v>1320</v>
      </c>
      <c r="B1140" s="113">
        <v>45374</v>
      </c>
      <c r="C1140" t="s">
        <v>159</v>
      </c>
      <c r="D1140" t="s">
        <v>168</v>
      </c>
      <c r="E1140">
        <v>48</v>
      </c>
      <c r="F1140">
        <v>672</v>
      </c>
      <c r="G1140" t="s">
        <v>147</v>
      </c>
      <c r="H1140">
        <v>44119.50591</v>
      </c>
      <c r="I1140">
        <v>44119.50591</v>
      </c>
      <c r="J1140" t="s">
        <v>156</v>
      </c>
      <c r="K1140" t="s">
        <v>156</v>
      </c>
      <c r="L1140">
        <v>3.9</v>
      </c>
      <c r="M1140" t="s">
        <v>149</v>
      </c>
      <c r="N1140">
        <v>5</v>
      </c>
      <c r="O1140">
        <v>4.8</v>
      </c>
      <c r="P1140">
        <v>2</v>
      </c>
      <c r="Q1140">
        <v>800</v>
      </c>
      <c r="R1140">
        <v>0.13198765200000001</v>
      </c>
      <c r="S1140" t="s">
        <v>150</v>
      </c>
      <c r="T1140">
        <v>7</v>
      </c>
      <c r="U1140">
        <v>0</v>
      </c>
      <c r="V1140">
        <v>7</v>
      </c>
      <c r="W1140">
        <v>0</v>
      </c>
      <c r="X1140" t="s">
        <v>149</v>
      </c>
      <c r="Y1140" t="s">
        <v>1019</v>
      </c>
    </row>
    <row r="1141" spans="1:25">
      <c r="A1141" t="s">
        <v>1321</v>
      </c>
      <c r="B1141" s="113">
        <v>45378</v>
      </c>
      <c r="C1141" t="s">
        <v>159</v>
      </c>
      <c r="D1141" t="s">
        <v>168</v>
      </c>
      <c r="E1141">
        <v>40</v>
      </c>
      <c r="F1141">
        <v>649</v>
      </c>
      <c r="G1141" t="s">
        <v>176</v>
      </c>
      <c r="H1141">
        <v>26498.270390000001</v>
      </c>
      <c r="J1141" t="s">
        <v>148</v>
      </c>
      <c r="K1141" t="s">
        <v>148</v>
      </c>
      <c r="L1141">
        <v>0.3</v>
      </c>
      <c r="M1141" t="s">
        <v>149</v>
      </c>
      <c r="N1141">
        <v>4</v>
      </c>
      <c r="O1141">
        <v>5.6</v>
      </c>
      <c r="P1141">
        <v>3</v>
      </c>
      <c r="Q1141">
        <v>1000</v>
      </c>
      <c r="R1141">
        <v>2.7622577999999998E-2</v>
      </c>
      <c r="S1141" t="s">
        <v>150</v>
      </c>
      <c r="T1141">
        <v>7</v>
      </c>
      <c r="U1141">
        <v>1</v>
      </c>
      <c r="V1141">
        <v>7</v>
      </c>
      <c r="W1141">
        <v>0</v>
      </c>
      <c r="X1141" t="s">
        <v>149</v>
      </c>
      <c r="Y1141" t="s">
        <v>1019</v>
      </c>
    </row>
    <row r="1142" spans="1:25">
      <c r="A1142" t="s">
        <v>1322</v>
      </c>
      <c r="B1142" s="113">
        <v>45380</v>
      </c>
      <c r="C1142" t="s">
        <v>159</v>
      </c>
      <c r="D1142" t="s">
        <v>165</v>
      </c>
      <c r="E1142">
        <v>54</v>
      </c>
      <c r="F1142">
        <v>544</v>
      </c>
      <c r="G1142" t="s">
        <v>147</v>
      </c>
      <c r="H1142">
        <v>49806.675869999999</v>
      </c>
      <c r="I1142">
        <v>49806.675869999999</v>
      </c>
      <c r="J1142" t="s">
        <v>148</v>
      </c>
      <c r="K1142" t="s">
        <v>148</v>
      </c>
      <c r="L1142">
        <v>4</v>
      </c>
      <c r="M1142" t="s">
        <v>149</v>
      </c>
      <c r="N1142">
        <v>1</v>
      </c>
      <c r="O1142">
        <v>0.9</v>
      </c>
      <c r="P1142">
        <v>4</v>
      </c>
      <c r="Q1142">
        <v>1500</v>
      </c>
      <c r="R1142">
        <v>0.18652717699999999</v>
      </c>
      <c r="S1142" t="s">
        <v>150</v>
      </c>
      <c r="T1142">
        <v>7</v>
      </c>
      <c r="U1142">
        <v>0</v>
      </c>
      <c r="V1142">
        <v>7</v>
      </c>
      <c r="W1142">
        <v>0</v>
      </c>
      <c r="X1142" t="s">
        <v>149</v>
      </c>
      <c r="Y1142" t="s">
        <v>1019</v>
      </c>
    </row>
    <row r="1143" spans="1:25">
      <c r="A1143" t="s">
        <v>1323</v>
      </c>
      <c r="B1143" s="113">
        <v>45383</v>
      </c>
      <c r="C1143" t="s">
        <v>159</v>
      </c>
      <c r="D1143" t="s">
        <v>160</v>
      </c>
      <c r="E1143">
        <v>25</v>
      </c>
      <c r="F1143">
        <v>593</v>
      </c>
      <c r="G1143" t="s">
        <v>155</v>
      </c>
      <c r="H1143">
        <v>74404.632679999995</v>
      </c>
      <c r="I1143">
        <v>74404.632679999995</v>
      </c>
      <c r="J1143" t="s">
        <v>156</v>
      </c>
      <c r="K1143" t="s">
        <v>156</v>
      </c>
      <c r="L1143">
        <v>2</v>
      </c>
      <c r="M1143" t="s">
        <v>149</v>
      </c>
      <c r="N1143">
        <v>1</v>
      </c>
      <c r="O1143">
        <v>8</v>
      </c>
      <c r="P1143">
        <v>2</v>
      </c>
      <c r="Q1143">
        <v>1550</v>
      </c>
      <c r="R1143">
        <v>0.34066685899999999</v>
      </c>
      <c r="S1143" t="s">
        <v>150</v>
      </c>
      <c r="T1143">
        <v>7</v>
      </c>
      <c r="U1143">
        <v>0</v>
      </c>
      <c r="V1143">
        <v>7</v>
      </c>
      <c r="W1143">
        <v>0</v>
      </c>
      <c r="X1143" t="s">
        <v>149</v>
      </c>
      <c r="Y1143" t="s">
        <v>1019</v>
      </c>
    </row>
    <row r="1144" spans="1:25">
      <c r="A1144" t="s">
        <v>1324</v>
      </c>
      <c r="B1144" s="113">
        <v>45384</v>
      </c>
      <c r="C1144" t="s">
        <v>159</v>
      </c>
      <c r="D1144" t="s">
        <v>165</v>
      </c>
      <c r="E1144">
        <v>29</v>
      </c>
      <c r="F1144">
        <v>724</v>
      </c>
      <c r="G1144" t="s">
        <v>176</v>
      </c>
      <c r="H1144">
        <v>77004.967839999998</v>
      </c>
      <c r="I1144">
        <v>77004.967839999998</v>
      </c>
      <c r="J1144" t="s">
        <v>156</v>
      </c>
      <c r="K1144" t="s">
        <v>156</v>
      </c>
      <c r="L1144">
        <v>1.6</v>
      </c>
      <c r="M1144" t="s">
        <v>149</v>
      </c>
      <c r="N1144">
        <v>3</v>
      </c>
      <c r="O1144">
        <v>3.8</v>
      </c>
      <c r="P1144">
        <v>2</v>
      </c>
      <c r="Q1144">
        <v>800</v>
      </c>
      <c r="R1144">
        <v>0.48610405800000001</v>
      </c>
      <c r="S1144" t="s">
        <v>150</v>
      </c>
      <c r="T1144">
        <v>7</v>
      </c>
      <c r="U1144">
        <v>0</v>
      </c>
      <c r="V1144">
        <v>7</v>
      </c>
      <c r="W1144">
        <v>0</v>
      </c>
      <c r="X1144" t="s">
        <v>149</v>
      </c>
      <c r="Y1144" t="s">
        <v>1019</v>
      </c>
    </row>
    <row r="1145" spans="1:25">
      <c r="A1145" t="s">
        <v>1325</v>
      </c>
      <c r="B1145" s="113">
        <v>45385</v>
      </c>
      <c r="C1145" t="s">
        <v>159</v>
      </c>
      <c r="D1145" t="s">
        <v>197</v>
      </c>
      <c r="E1145">
        <v>55</v>
      </c>
      <c r="F1145">
        <v>696</v>
      </c>
      <c r="G1145" t="s">
        <v>155</v>
      </c>
      <c r="H1145">
        <v>15100.47838</v>
      </c>
      <c r="J1145" t="s">
        <v>156</v>
      </c>
      <c r="K1145" t="s">
        <v>156</v>
      </c>
      <c r="L1145">
        <v>8.6999999999999993</v>
      </c>
      <c r="M1145" t="s">
        <v>149</v>
      </c>
      <c r="N1145">
        <v>1</v>
      </c>
      <c r="O1145">
        <v>7</v>
      </c>
      <c r="P1145">
        <v>2</v>
      </c>
      <c r="Q1145">
        <v>1550</v>
      </c>
      <c r="R1145">
        <v>0.61912351799999998</v>
      </c>
      <c r="S1145" t="s">
        <v>150</v>
      </c>
      <c r="T1145">
        <v>7</v>
      </c>
      <c r="U1145">
        <v>0</v>
      </c>
      <c r="V1145">
        <v>7</v>
      </c>
      <c r="W1145">
        <v>0</v>
      </c>
      <c r="X1145" t="s">
        <v>149</v>
      </c>
      <c r="Y1145" t="s">
        <v>1019</v>
      </c>
    </row>
    <row r="1146" spans="1:25">
      <c r="A1146" t="s">
        <v>1326</v>
      </c>
      <c r="B1146" s="113">
        <v>45388</v>
      </c>
      <c r="C1146" t="s">
        <v>162</v>
      </c>
      <c r="D1146" t="s">
        <v>187</v>
      </c>
      <c r="E1146">
        <v>30</v>
      </c>
      <c r="F1146">
        <v>659</v>
      </c>
      <c r="G1146" t="s">
        <v>147</v>
      </c>
      <c r="H1146">
        <v>63235.154269999999</v>
      </c>
      <c r="I1146">
        <v>63235.154269999999</v>
      </c>
      <c r="J1146" t="s">
        <v>148</v>
      </c>
      <c r="K1146" t="s">
        <v>148</v>
      </c>
      <c r="L1146">
        <v>5.2</v>
      </c>
      <c r="M1146" t="s">
        <v>149</v>
      </c>
      <c r="N1146">
        <v>3</v>
      </c>
      <c r="O1146">
        <v>0.6</v>
      </c>
      <c r="P1146">
        <v>3</v>
      </c>
      <c r="Q1146">
        <v>1550</v>
      </c>
      <c r="R1146">
        <v>0.73632719999999996</v>
      </c>
      <c r="S1146" t="s">
        <v>198</v>
      </c>
      <c r="Y1146" t="s">
        <v>199</v>
      </c>
    </row>
    <row r="1147" spans="1:25">
      <c r="A1147" t="s">
        <v>1327</v>
      </c>
      <c r="B1147" s="113">
        <v>45389</v>
      </c>
      <c r="C1147" t="s">
        <v>162</v>
      </c>
      <c r="D1147" t="s">
        <v>163</v>
      </c>
      <c r="E1147">
        <v>40</v>
      </c>
      <c r="F1147">
        <v>537</v>
      </c>
      <c r="G1147" t="s">
        <v>155</v>
      </c>
      <c r="H1147">
        <v>70154.674660000004</v>
      </c>
      <c r="I1147">
        <v>70154.674660000004</v>
      </c>
      <c r="J1147" t="s">
        <v>156</v>
      </c>
      <c r="K1147" t="s">
        <v>156</v>
      </c>
      <c r="L1147">
        <v>0.9</v>
      </c>
      <c r="M1147" t="s">
        <v>149</v>
      </c>
      <c r="N1147">
        <v>2</v>
      </c>
      <c r="O1147">
        <v>0.1</v>
      </c>
      <c r="P1147">
        <v>1</v>
      </c>
      <c r="Q1147">
        <v>900</v>
      </c>
      <c r="R1147">
        <v>0.83472108499999997</v>
      </c>
      <c r="S1147" t="s">
        <v>150</v>
      </c>
      <c r="T1147">
        <v>6</v>
      </c>
      <c r="U1147">
        <v>0</v>
      </c>
      <c r="V1147">
        <v>6</v>
      </c>
      <c r="W1147">
        <v>0</v>
      </c>
      <c r="X1147" t="s">
        <v>149</v>
      </c>
      <c r="Y1147" t="s">
        <v>1019</v>
      </c>
    </row>
    <row r="1148" spans="1:25">
      <c r="A1148" t="s">
        <v>1328</v>
      </c>
      <c r="B1148" s="113">
        <v>45390</v>
      </c>
      <c r="C1148" t="s">
        <v>162</v>
      </c>
      <c r="D1148" t="s">
        <v>193</v>
      </c>
      <c r="E1148">
        <v>57</v>
      </c>
      <c r="F1148">
        <v>830</v>
      </c>
      <c r="G1148" t="s">
        <v>169</v>
      </c>
      <c r="H1148">
        <v>22399.487099999998</v>
      </c>
      <c r="J1148" t="s">
        <v>148</v>
      </c>
      <c r="K1148" t="s">
        <v>148</v>
      </c>
      <c r="L1148">
        <v>0.7</v>
      </c>
      <c r="M1148" t="s">
        <v>149</v>
      </c>
      <c r="N1148">
        <v>4</v>
      </c>
      <c r="O1148">
        <v>2.5</v>
      </c>
      <c r="P1148">
        <v>3</v>
      </c>
      <c r="Q1148">
        <v>1200</v>
      </c>
      <c r="R1148">
        <v>0.91179165799999995</v>
      </c>
      <c r="S1148" t="s">
        <v>150</v>
      </c>
      <c r="T1148">
        <v>6</v>
      </c>
      <c r="U1148">
        <v>0</v>
      </c>
      <c r="V1148">
        <v>6</v>
      </c>
      <c r="W1148">
        <v>0</v>
      </c>
      <c r="X1148" t="s">
        <v>149</v>
      </c>
      <c r="Y1148" t="s">
        <v>1019</v>
      </c>
    </row>
    <row r="1149" spans="1:25">
      <c r="A1149" t="s">
        <v>1329</v>
      </c>
      <c r="B1149" s="113">
        <v>45391</v>
      </c>
      <c r="C1149" t="s">
        <v>159</v>
      </c>
      <c r="D1149" t="s">
        <v>165</v>
      </c>
      <c r="E1149">
        <v>32</v>
      </c>
      <c r="F1149">
        <v>493</v>
      </c>
      <c r="G1149" t="s">
        <v>176</v>
      </c>
      <c r="H1149">
        <v>59487.159290000003</v>
      </c>
      <c r="I1149">
        <v>59487.159290000003</v>
      </c>
      <c r="J1149" t="s">
        <v>148</v>
      </c>
      <c r="K1149" t="s">
        <v>148</v>
      </c>
      <c r="L1149">
        <v>1.5</v>
      </c>
      <c r="M1149" t="s">
        <v>149</v>
      </c>
      <c r="N1149">
        <v>0</v>
      </c>
      <c r="O1149">
        <v>2.8</v>
      </c>
      <c r="P1149">
        <v>3</v>
      </c>
      <c r="Q1149">
        <v>800</v>
      </c>
      <c r="R1149">
        <v>0.96557011699999995</v>
      </c>
      <c r="S1149" t="s">
        <v>150</v>
      </c>
      <c r="T1149">
        <v>6</v>
      </c>
      <c r="U1149">
        <v>0</v>
      </c>
      <c r="V1149">
        <v>6</v>
      </c>
      <c r="W1149">
        <v>0</v>
      </c>
      <c r="X1149" t="s">
        <v>149</v>
      </c>
      <c r="Y1149" t="s">
        <v>1019</v>
      </c>
    </row>
    <row r="1150" spans="1:25">
      <c r="A1150" t="s">
        <v>1330</v>
      </c>
      <c r="B1150" s="113">
        <v>45392</v>
      </c>
      <c r="C1150" t="s">
        <v>145</v>
      </c>
      <c r="D1150" t="s">
        <v>280</v>
      </c>
      <c r="E1150">
        <v>37</v>
      </c>
      <c r="F1150">
        <v>745</v>
      </c>
      <c r="G1150" t="s">
        <v>147</v>
      </c>
      <c r="H1150">
        <v>91747.887530000007</v>
      </c>
      <c r="J1150" t="s">
        <v>148</v>
      </c>
      <c r="K1150" t="s">
        <v>166</v>
      </c>
      <c r="L1150">
        <v>0.1</v>
      </c>
      <c r="M1150" t="s">
        <v>149</v>
      </c>
      <c r="N1150">
        <v>3</v>
      </c>
      <c r="O1150">
        <v>6.2</v>
      </c>
      <c r="P1150">
        <v>3</v>
      </c>
      <c r="Q1150">
        <v>1050</v>
      </c>
      <c r="R1150">
        <v>0.99468266999999999</v>
      </c>
      <c r="S1150" t="s">
        <v>150</v>
      </c>
      <c r="T1150">
        <v>6</v>
      </c>
      <c r="U1150">
        <v>0</v>
      </c>
      <c r="V1150">
        <v>6</v>
      </c>
      <c r="W1150">
        <v>0</v>
      </c>
      <c r="X1150" t="s">
        <v>149</v>
      </c>
      <c r="Y1150" t="s">
        <v>1019</v>
      </c>
    </row>
    <row r="1151" spans="1:25">
      <c r="A1151" t="s">
        <v>1331</v>
      </c>
      <c r="B1151" s="113">
        <v>45393</v>
      </c>
      <c r="C1151" t="s">
        <v>162</v>
      </c>
      <c r="D1151" t="s">
        <v>193</v>
      </c>
      <c r="E1151">
        <v>38</v>
      </c>
      <c r="F1151">
        <v>623</v>
      </c>
      <c r="G1151" t="s">
        <v>147</v>
      </c>
      <c r="H1151">
        <v>21208.672330000001</v>
      </c>
      <c r="J1151" t="s">
        <v>183</v>
      </c>
      <c r="K1151" t="s">
        <v>183</v>
      </c>
      <c r="L1151">
        <v>0.5</v>
      </c>
      <c r="M1151" t="s">
        <v>149</v>
      </c>
      <c r="N1151">
        <v>0</v>
      </c>
      <c r="O1151">
        <v>1.4</v>
      </c>
      <c r="P1151">
        <v>2</v>
      </c>
      <c r="Q1151">
        <v>950</v>
      </c>
      <c r="R1151">
        <v>0.998385623</v>
      </c>
      <c r="S1151" t="s">
        <v>150</v>
      </c>
      <c r="T1151">
        <v>6</v>
      </c>
      <c r="U1151">
        <v>1</v>
      </c>
      <c r="V1151">
        <v>6</v>
      </c>
      <c r="W1151">
        <v>0</v>
      </c>
      <c r="X1151" t="s">
        <v>149</v>
      </c>
      <c r="Y1151" t="s">
        <v>1019</v>
      </c>
    </row>
    <row r="1152" spans="1:25">
      <c r="A1152" t="s">
        <v>1332</v>
      </c>
      <c r="B1152" s="113">
        <v>45393</v>
      </c>
      <c r="C1152" t="s">
        <v>145</v>
      </c>
      <c r="D1152" t="s">
        <v>154</v>
      </c>
      <c r="E1152">
        <v>41</v>
      </c>
      <c r="F1152">
        <v>686</v>
      </c>
      <c r="G1152" t="s">
        <v>176</v>
      </c>
      <c r="H1152">
        <v>48412.886229999996</v>
      </c>
      <c r="I1152">
        <v>48412.886229999996</v>
      </c>
      <c r="J1152" t="s">
        <v>148</v>
      </c>
      <c r="K1152" t="s">
        <v>148</v>
      </c>
      <c r="L1152">
        <v>1.3</v>
      </c>
      <c r="M1152" t="s">
        <v>149</v>
      </c>
      <c r="N1152">
        <v>1</v>
      </c>
      <c r="O1152">
        <v>1.2</v>
      </c>
      <c r="P1152">
        <v>3</v>
      </c>
      <c r="Q1152">
        <v>1050</v>
      </c>
      <c r="R1152">
        <v>0.97658438299999994</v>
      </c>
      <c r="S1152" t="s">
        <v>150</v>
      </c>
      <c r="T1152">
        <v>6</v>
      </c>
      <c r="U1152">
        <v>0</v>
      </c>
      <c r="V1152">
        <v>6</v>
      </c>
      <c r="W1152">
        <v>0</v>
      </c>
      <c r="X1152" t="s">
        <v>149</v>
      </c>
      <c r="Y1152" t="s">
        <v>1019</v>
      </c>
    </row>
    <row r="1153" spans="1:25">
      <c r="A1153" t="s">
        <v>1333</v>
      </c>
      <c r="B1153" s="113">
        <v>45397</v>
      </c>
      <c r="C1153" t="s">
        <v>159</v>
      </c>
      <c r="D1153" t="s">
        <v>209</v>
      </c>
      <c r="E1153">
        <v>44</v>
      </c>
      <c r="F1153">
        <v>616</v>
      </c>
      <c r="G1153" t="s">
        <v>147</v>
      </c>
      <c r="H1153">
        <v>26033.613969999999</v>
      </c>
      <c r="J1153" t="s">
        <v>148</v>
      </c>
      <c r="K1153" t="s">
        <v>148</v>
      </c>
      <c r="L1153">
        <v>3.1</v>
      </c>
      <c r="M1153" t="s">
        <v>149</v>
      </c>
      <c r="N1153">
        <v>2</v>
      </c>
      <c r="O1153">
        <v>1.7</v>
      </c>
      <c r="P1153">
        <v>3</v>
      </c>
      <c r="Q1153">
        <v>1650</v>
      </c>
      <c r="R1153">
        <v>0.92983587199999995</v>
      </c>
      <c r="S1153" t="s">
        <v>150</v>
      </c>
      <c r="T1153">
        <v>6</v>
      </c>
      <c r="U1153">
        <v>0</v>
      </c>
      <c r="V1153">
        <v>6</v>
      </c>
      <c r="W1153">
        <v>0</v>
      </c>
      <c r="X1153" t="s">
        <v>149</v>
      </c>
      <c r="Y1153" t="s">
        <v>1019</v>
      </c>
    </row>
    <row r="1154" spans="1:25">
      <c r="A1154" t="s">
        <v>1334</v>
      </c>
      <c r="B1154" s="113">
        <v>45400</v>
      </c>
      <c r="C1154" t="s">
        <v>159</v>
      </c>
      <c r="D1154" t="s">
        <v>168</v>
      </c>
      <c r="E1154">
        <v>23</v>
      </c>
      <c r="F1154">
        <v>642</v>
      </c>
      <c r="G1154" t="s">
        <v>155</v>
      </c>
      <c r="H1154">
        <v>58597.095809999999</v>
      </c>
      <c r="I1154">
        <v>58597.095809999999</v>
      </c>
      <c r="J1154" t="s">
        <v>148</v>
      </c>
      <c r="K1154" t="s">
        <v>148</v>
      </c>
      <c r="L1154">
        <v>5.6</v>
      </c>
      <c r="M1154" t="s">
        <v>149</v>
      </c>
      <c r="N1154">
        <v>3</v>
      </c>
      <c r="O1154">
        <v>4.5999999999999996</v>
      </c>
      <c r="P1154">
        <v>2</v>
      </c>
      <c r="Q1154">
        <v>1100</v>
      </c>
      <c r="R1154">
        <v>0.8593343</v>
      </c>
      <c r="S1154" t="s">
        <v>150</v>
      </c>
      <c r="T1154">
        <v>6</v>
      </c>
      <c r="U1154">
        <v>1</v>
      </c>
      <c r="V1154">
        <v>6</v>
      </c>
      <c r="W1154">
        <v>0</v>
      </c>
      <c r="X1154" t="s">
        <v>149</v>
      </c>
      <c r="Y1154" t="s">
        <v>1019</v>
      </c>
    </row>
    <row r="1155" spans="1:25">
      <c r="A1155" t="s">
        <v>1335</v>
      </c>
      <c r="B1155" s="113">
        <v>45402</v>
      </c>
      <c r="C1155" t="s">
        <v>159</v>
      </c>
      <c r="D1155" t="s">
        <v>168</v>
      </c>
      <c r="E1155">
        <v>35</v>
      </c>
      <c r="F1155">
        <v>710</v>
      </c>
      <c r="G1155" t="s">
        <v>176</v>
      </c>
      <c r="H1155">
        <v>78179.493489999993</v>
      </c>
      <c r="I1155">
        <v>78179.493489999993</v>
      </c>
      <c r="J1155" t="s">
        <v>221</v>
      </c>
      <c r="K1155" t="s">
        <v>221</v>
      </c>
      <c r="L1155">
        <v>2.5</v>
      </c>
      <c r="M1155" t="s">
        <v>149</v>
      </c>
      <c r="N1155">
        <v>2</v>
      </c>
      <c r="O1155">
        <v>1.6</v>
      </c>
      <c r="P1155">
        <v>3</v>
      </c>
      <c r="Q1155">
        <v>1450</v>
      </c>
      <c r="R1155">
        <v>0.76688066200000005</v>
      </c>
      <c r="S1155" t="s">
        <v>150</v>
      </c>
      <c r="T1155">
        <v>6</v>
      </c>
      <c r="U1155">
        <v>0</v>
      </c>
      <c r="V1155">
        <v>6</v>
      </c>
      <c r="W1155">
        <v>0</v>
      </c>
      <c r="X1155" t="s">
        <v>149</v>
      </c>
      <c r="Y1155" t="s">
        <v>1019</v>
      </c>
    </row>
    <row r="1156" spans="1:25">
      <c r="A1156" t="s">
        <v>1336</v>
      </c>
      <c r="B1156" s="113">
        <v>45403</v>
      </c>
      <c r="C1156" t="s">
        <v>145</v>
      </c>
      <c r="D1156" t="s">
        <v>146</v>
      </c>
      <c r="E1156">
        <v>27</v>
      </c>
      <c r="F1156">
        <v>799</v>
      </c>
      <c r="G1156" t="s">
        <v>169</v>
      </c>
      <c r="H1156">
        <v>45686.077740000001</v>
      </c>
      <c r="J1156" t="s">
        <v>156</v>
      </c>
      <c r="K1156" t="s">
        <v>156</v>
      </c>
      <c r="L1156">
        <v>30</v>
      </c>
      <c r="M1156" t="s">
        <v>149</v>
      </c>
      <c r="N1156">
        <v>2</v>
      </c>
      <c r="O1156">
        <v>6</v>
      </c>
      <c r="P1156">
        <v>3</v>
      </c>
      <c r="Q1156">
        <v>1050</v>
      </c>
      <c r="R1156">
        <v>0.65483672500000001</v>
      </c>
      <c r="S1156" t="s">
        <v>150</v>
      </c>
      <c r="T1156">
        <v>6</v>
      </c>
      <c r="U1156">
        <v>0</v>
      </c>
      <c r="V1156">
        <v>6</v>
      </c>
      <c r="W1156">
        <v>0</v>
      </c>
      <c r="X1156" t="s">
        <v>149</v>
      </c>
      <c r="Y1156" t="s">
        <v>1019</v>
      </c>
    </row>
    <row r="1157" spans="1:25">
      <c r="A1157" t="s">
        <v>1337</v>
      </c>
      <c r="B1157" s="113">
        <v>45403</v>
      </c>
      <c r="C1157" t="s">
        <v>159</v>
      </c>
      <c r="D1157" t="s">
        <v>168</v>
      </c>
      <c r="E1157">
        <v>41</v>
      </c>
      <c r="F1157">
        <v>816</v>
      </c>
      <c r="G1157" t="s">
        <v>169</v>
      </c>
      <c r="H1157">
        <v>14827.490610000001</v>
      </c>
      <c r="I1157">
        <v>14827.490610000001</v>
      </c>
      <c r="J1157" t="s">
        <v>148</v>
      </c>
      <c r="K1157" t="s">
        <v>148</v>
      </c>
      <c r="L1157">
        <v>5.6</v>
      </c>
      <c r="M1157" t="s">
        <v>149</v>
      </c>
      <c r="N1157">
        <v>6</v>
      </c>
      <c r="O1157">
        <v>0.4</v>
      </c>
      <c r="P1157">
        <v>2</v>
      </c>
      <c r="Q1157">
        <v>800</v>
      </c>
      <c r="R1157">
        <v>0.52606469899999997</v>
      </c>
      <c r="S1157" t="s">
        <v>150</v>
      </c>
      <c r="T1157">
        <v>6</v>
      </c>
      <c r="U1157">
        <v>0</v>
      </c>
      <c r="V1157">
        <v>6</v>
      </c>
      <c r="W1157">
        <v>0</v>
      </c>
      <c r="X1157" t="s">
        <v>149</v>
      </c>
      <c r="Y1157" t="s">
        <v>1019</v>
      </c>
    </row>
    <row r="1158" spans="1:25">
      <c r="A1158" t="s">
        <v>1338</v>
      </c>
      <c r="B1158" s="113">
        <v>45404</v>
      </c>
      <c r="C1158" t="s">
        <v>159</v>
      </c>
      <c r="D1158" t="s">
        <v>197</v>
      </c>
      <c r="E1158">
        <v>28</v>
      </c>
      <c r="F1158">
        <v>674</v>
      </c>
      <c r="G1158" t="s">
        <v>169</v>
      </c>
      <c r="H1158">
        <v>51788.706660000003</v>
      </c>
      <c r="I1158">
        <v>51788.706660000003</v>
      </c>
      <c r="J1158" t="s">
        <v>170</v>
      </c>
      <c r="K1158" t="s">
        <v>170</v>
      </c>
      <c r="L1158">
        <v>0.8</v>
      </c>
      <c r="M1158" t="s">
        <v>149</v>
      </c>
      <c r="N1158">
        <v>0</v>
      </c>
      <c r="O1158">
        <v>19.3</v>
      </c>
      <c r="P1158">
        <v>4</v>
      </c>
      <c r="Q1158">
        <v>1300</v>
      </c>
      <c r="R1158">
        <v>0.38385412400000002</v>
      </c>
      <c r="S1158" t="s">
        <v>150</v>
      </c>
      <c r="T1158">
        <v>6</v>
      </c>
      <c r="U1158">
        <v>0</v>
      </c>
      <c r="V1158">
        <v>6</v>
      </c>
      <c r="W1158">
        <v>0</v>
      </c>
      <c r="X1158" t="s">
        <v>149</v>
      </c>
      <c r="Y1158" t="s">
        <v>1019</v>
      </c>
    </row>
    <row r="1159" spans="1:25">
      <c r="A1159" t="s">
        <v>1339</v>
      </c>
      <c r="B1159" s="113">
        <v>45404</v>
      </c>
      <c r="C1159" t="s">
        <v>162</v>
      </c>
      <c r="D1159" t="s">
        <v>187</v>
      </c>
      <c r="E1159">
        <v>26</v>
      </c>
      <c r="F1159">
        <v>714</v>
      </c>
      <c r="G1159" t="s">
        <v>169</v>
      </c>
      <c r="H1159">
        <v>24356.100470000001</v>
      </c>
      <c r="I1159">
        <v>24356.100470000001</v>
      </c>
      <c r="J1159" t="s">
        <v>148</v>
      </c>
      <c r="K1159" t="s">
        <v>148</v>
      </c>
      <c r="L1159">
        <v>5.2</v>
      </c>
      <c r="M1159" t="s">
        <v>149</v>
      </c>
      <c r="N1159">
        <v>2</v>
      </c>
      <c r="O1159">
        <v>2.1</v>
      </c>
      <c r="P1159">
        <v>3</v>
      </c>
      <c r="Q1159">
        <v>1350</v>
      </c>
      <c r="R1159">
        <v>0.231837828</v>
      </c>
      <c r="S1159" t="s">
        <v>150</v>
      </c>
      <c r="T1159">
        <v>6</v>
      </c>
      <c r="U1159">
        <v>0</v>
      </c>
      <c r="V1159">
        <v>6</v>
      </c>
      <c r="W1159">
        <v>0</v>
      </c>
      <c r="X1159" t="s">
        <v>149</v>
      </c>
      <c r="Y1159" t="s">
        <v>1019</v>
      </c>
    </row>
    <row r="1160" spans="1:25">
      <c r="A1160" t="s">
        <v>1340</v>
      </c>
      <c r="B1160" s="113">
        <v>45405</v>
      </c>
      <c r="C1160" t="s">
        <v>162</v>
      </c>
      <c r="D1160" t="s">
        <v>190</v>
      </c>
      <c r="E1160">
        <v>36</v>
      </c>
      <c r="F1160">
        <v>761</v>
      </c>
      <c r="G1160" t="s">
        <v>176</v>
      </c>
      <c r="H1160">
        <v>97740.481580000007</v>
      </c>
      <c r="I1160">
        <v>97740.481580000007</v>
      </c>
      <c r="J1160" t="s">
        <v>148</v>
      </c>
      <c r="K1160" t="s">
        <v>148</v>
      </c>
      <c r="L1160">
        <v>2.2000000000000002</v>
      </c>
      <c r="M1160" t="s">
        <v>149</v>
      </c>
      <c r="N1160">
        <v>1</v>
      </c>
      <c r="O1160">
        <v>5.0999999999999996</v>
      </c>
      <c r="P1160">
        <v>3</v>
      </c>
      <c r="Q1160">
        <v>800</v>
      </c>
      <c r="R1160">
        <v>7.3899134000000005E-2</v>
      </c>
      <c r="S1160" t="s">
        <v>150</v>
      </c>
      <c r="T1160">
        <v>6</v>
      </c>
      <c r="U1160">
        <v>0</v>
      </c>
      <c r="V1160">
        <v>6</v>
      </c>
      <c r="W1160">
        <v>0</v>
      </c>
      <c r="X1160" t="s">
        <v>149</v>
      </c>
      <c r="Y1160" t="s">
        <v>1019</v>
      </c>
    </row>
    <row r="1161" spans="1:25">
      <c r="A1161" t="s">
        <v>1341</v>
      </c>
      <c r="B1161" s="113">
        <v>45408</v>
      </c>
      <c r="C1161" t="s">
        <v>159</v>
      </c>
      <c r="D1161" t="s">
        <v>197</v>
      </c>
      <c r="E1161">
        <v>52</v>
      </c>
      <c r="F1161">
        <v>634</v>
      </c>
      <c r="G1161" t="s">
        <v>147</v>
      </c>
      <c r="H1161">
        <v>19290.598900000001</v>
      </c>
      <c r="J1161" t="s">
        <v>148</v>
      </c>
      <c r="K1161" t="s">
        <v>148</v>
      </c>
      <c r="L1161">
        <v>1.5</v>
      </c>
      <c r="M1161" t="s">
        <v>149</v>
      </c>
      <c r="N1161">
        <v>2</v>
      </c>
      <c r="O1161">
        <v>2.4</v>
      </c>
      <c r="P1161">
        <v>3</v>
      </c>
      <c r="Q1161">
        <v>1400</v>
      </c>
      <c r="R1161">
        <v>8.5927344000000003E-2</v>
      </c>
      <c r="S1161" t="s">
        <v>150</v>
      </c>
      <c r="T1161">
        <v>6</v>
      </c>
      <c r="U1161">
        <v>0</v>
      </c>
      <c r="V1161">
        <v>6</v>
      </c>
      <c r="W1161">
        <v>0</v>
      </c>
      <c r="X1161" t="s">
        <v>149</v>
      </c>
      <c r="Y1161" t="s">
        <v>1019</v>
      </c>
    </row>
    <row r="1162" spans="1:25">
      <c r="A1162" t="s">
        <v>1342</v>
      </c>
      <c r="B1162" s="113">
        <v>45410</v>
      </c>
      <c r="C1162" t="s">
        <v>162</v>
      </c>
      <c r="D1162" t="s">
        <v>190</v>
      </c>
      <c r="E1162">
        <v>33</v>
      </c>
      <c r="F1162">
        <v>822</v>
      </c>
      <c r="G1162" t="s">
        <v>169</v>
      </c>
      <c r="H1162">
        <v>16796.32043</v>
      </c>
      <c r="I1162">
        <v>16796.32043</v>
      </c>
      <c r="J1162" t="s">
        <v>156</v>
      </c>
      <c r="K1162" t="s">
        <v>156</v>
      </c>
      <c r="L1162">
        <v>3.1</v>
      </c>
      <c r="M1162" t="s">
        <v>151</v>
      </c>
      <c r="N1162">
        <v>8</v>
      </c>
      <c r="O1162">
        <v>3.4</v>
      </c>
      <c r="P1162">
        <v>3</v>
      </c>
      <c r="Q1162">
        <v>1500</v>
      </c>
      <c r="R1162">
        <v>0.24355877200000001</v>
      </c>
      <c r="S1162" t="s">
        <v>198</v>
      </c>
      <c r="Y1162" t="s">
        <v>199</v>
      </c>
    </row>
    <row r="1163" spans="1:25">
      <c r="A1163" t="s">
        <v>1343</v>
      </c>
      <c r="B1163" s="113">
        <v>45412</v>
      </c>
      <c r="C1163" t="s">
        <v>159</v>
      </c>
      <c r="D1163" t="s">
        <v>165</v>
      </c>
      <c r="E1163">
        <v>34</v>
      </c>
      <c r="F1163">
        <v>669</v>
      </c>
      <c r="G1163" t="s">
        <v>155</v>
      </c>
      <c r="H1163">
        <v>110569.232</v>
      </c>
      <c r="J1163" t="s">
        <v>148</v>
      </c>
      <c r="K1163" t="s">
        <v>148</v>
      </c>
      <c r="L1163">
        <v>0.4</v>
      </c>
      <c r="M1163" t="s">
        <v>149</v>
      </c>
      <c r="N1163">
        <v>1</v>
      </c>
      <c r="O1163">
        <v>0.9</v>
      </c>
      <c r="P1163">
        <v>3</v>
      </c>
      <c r="Q1163">
        <v>1150</v>
      </c>
      <c r="R1163">
        <v>0.39496838499999998</v>
      </c>
      <c r="S1163" t="s">
        <v>150</v>
      </c>
      <c r="T1163">
        <v>6</v>
      </c>
      <c r="U1163">
        <v>0</v>
      </c>
      <c r="V1163">
        <v>6</v>
      </c>
      <c r="W1163">
        <v>0</v>
      </c>
      <c r="X1163" t="s">
        <v>149</v>
      </c>
      <c r="Y1163" t="s">
        <v>1019</v>
      </c>
    </row>
    <row r="1164" spans="1:25">
      <c r="A1164" t="s">
        <v>1344</v>
      </c>
      <c r="B1164" s="113">
        <v>45412</v>
      </c>
      <c r="C1164" t="s">
        <v>162</v>
      </c>
      <c r="D1164" t="s">
        <v>195</v>
      </c>
      <c r="E1164">
        <v>45</v>
      </c>
      <c r="F1164">
        <v>724</v>
      </c>
      <c r="G1164" t="s">
        <v>147</v>
      </c>
      <c r="H1164">
        <v>32184.751530000001</v>
      </c>
      <c r="J1164" t="s">
        <v>148</v>
      </c>
      <c r="K1164" t="s">
        <v>148</v>
      </c>
      <c r="L1164">
        <v>0.5</v>
      </c>
      <c r="M1164" t="s">
        <v>149</v>
      </c>
      <c r="N1164">
        <v>0</v>
      </c>
      <c r="O1164">
        <v>2.9</v>
      </c>
      <c r="P1164">
        <v>3</v>
      </c>
      <c r="Q1164">
        <v>1400</v>
      </c>
      <c r="R1164">
        <v>0.53628836000000002</v>
      </c>
      <c r="S1164" t="s">
        <v>150</v>
      </c>
      <c r="T1164">
        <v>6</v>
      </c>
      <c r="U1164">
        <v>0</v>
      </c>
      <c r="V1164">
        <v>6</v>
      </c>
      <c r="W1164">
        <v>0</v>
      </c>
      <c r="X1164" t="s">
        <v>149</v>
      </c>
      <c r="Y1164" t="s">
        <v>1019</v>
      </c>
    </row>
    <row r="1165" spans="1:25">
      <c r="A1165" t="s">
        <v>1345</v>
      </c>
      <c r="B1165" s="113">
        <v>45416</v>
      </c>
      <c r="C1165" t="s">
        <v>162</v>
      </c>
      <c r="D1165" t="s">
        <v>195</v>
      </c>
      <c r="E1165">
        <v>29</v>
      </c>
      <c r="F1165">
        <v>735</v>
      </c>
      <c r="G1165" t="s">
        <v>155</v>
      </c>
      <c r="H1165">
        <v>97037.240829999995</v>
      </c>
      <c r="I1165">
        <v>97037.240829999995</v>
      </c>
      <c r="J1165" t="s">
        <v>148</v>
      </c>
      <c r="K1165" t="s">
        <v>148</v>
      </c>
      <c r="L1165">
        <v>0.4</v>
      </c>
      <c r="M1165" t="s">
        <v>149</v>
      </c>
      <c r="N1165">
        <v>2</v>
      </c>
      <c r="O1165">
        <v>10.1</v>
      </c>
      <c r="P1165">
        <v>3</v>
      </c>
      <c r="Q1165">
        <v>1450</v>
      </c>
      <c r="R1165">
        <v>0.66390861599999995</v>
      </c>
      <c r="S1165" t="s">
        <v>150</v>
      </c>
      <c r="T1165">
        <v>6</v>
      </c>
      <c r="U1165">
        <v>0</v>
      </c>
      <c r="V1165">
        <v>6</v>
      </c>
      <c r="W1165">
        <v>0</v>
      </c>
      <c r="X1165" t="s">
        <v>149</v>
      </c>
      <c r="Y1165" t="s">
        <v>1019</v>
      </c>
    </row>
    <row r="1166" spans="1:25">
      <c r="A1166" t="s">
        <v>1346</v>
      </c>
      <c r="B1166" s="113">
        <v>45416</v>
      </c>
      <c r="C1166" t="s">
        <v>159</v>
      </c>
      <c r="D1166" t="s">
        <v>160</v>
      </c>
      <c r="E1166">
        <v>61</v>
      </c>
      <c r="F1166">
        <v>841</v>
      </c>
      <c r="G1166" t="s">
        <v>147</v>
      </c>
      <c r="H1166">
        <v>16010.80574</v>
      </c>
      <c r="I1166">
        <v>16010.80574</v>
      </c>
      <c r="J1166" t="s">
        <v>148</v>
      </c>
      <c r="K1166" t="s">
        <v>148</v>
      </c>
      <c r="L1166">
        <v>1.7</v>
      </c>
      <c r="M1166" t="s">
        <v>149</v>
      </c>
      <c r="N1166">
        <v>1</v>
      </c>
      <c r="O1166">
        <v>5.5</v>
      </c>
      <c r="P1166">
        <v>3</v>
      </c>
      <c r="Q1166">
        <v>1000</v>
      </c>
      <c r="R1166">
        <v>0.77456903899999996</v>
      </c>
      <c r="S1166" t="s">
        <v>150</v>
      </c>
      <c r="T1166">
        <v>6</v>
      </c>
      <c r="U1166">
        <v>0</v>
      </c>
      <c r="V1166">
        <v>6</v>
      </c>
      <c r="W1166">
        <v>0</v>
      </c>
      <c r="X1166" t="s">
        <v>149</v>
      </c>
      <c r="Y1166" t="s">
        <v>1019</v>
      </c>
    </row>
    <row r="1167" spans="1:25">
      <c r="A1167" t="s">
        <v>1347</v>
      </c>
      <c r="B1167" s="113">
        <v>45418</v>
      </c>
      <c r="C1167" t="s">
        <v>162</v>
      </c>
      <c r="D1167" t="s">
        <v>163</v>
      </c>
      <c r="E1167">
        <v>33</v>
      </c>
      <c r="F1167">
        <v>755</v>
      </c>
      <c r="G1167" t="s">
        <v>169</v>
      </c>
      <c r="H1167">
        <v>44684.481769999999</v>
      </c>
      <c r="I1167">
        <v>44684.481769999999</v>
      </c>
      <c r="J1167" t="s">
        <v>148</v>
      </c>
      <c r="K1167" t="s">
        <v>148</v>
      </c>
      <c r="L1167">
        <v>2.8</v>
      </c>
      <c r="M1167" t="s">
        <v>149</v>
      </c>
      <c r="N1167">
        <v>2</v>
      </c>
      <c r="O1167">
        <v>4.7</v>
      </c>
      <c r="P1167">
        <v>3</v>
      </c>
      <c r="Q1167">
        <v>900</v>
      </c>
      <c r="R1167">
        <v>0.86544276099999995</v>
      </c>
      <c r="S1167" t="s">
        <v>150</v>
      </c>
      <c r="T1167">
        <v>5</v>
      </c>
      <c r="U1167">
        <v>0</v>
      </c>
      <c r="V1167">
        <v>5</v>
      </c>
      <c r="W1167">
        <v>0</v>
      </c>
      <c r="X1167" t="s">
        <v>149</v>
      </c>
      <c r="Y1167" t="s">
        <v>1019</v>
      </c>
    </row>
    <row r="1168" spans="1:25">
      <c r="A1168" t="s">
        <v>1348</v>
      </c>
      <c r="B1168" s="113">
        <v>45419</v>
      </c>
      <c r="C1168" t="s">
        <v>162</v>
      </c>
      <c r="D1168" t="s">
        <v>179</v>
      </c>
      <c r="E1168">
        <v>50</v>
      </c>
      <c r="F1168">
        <v>752</v>
      </c>
      <c r="G1168" t="s">
        <v>176</v>
      </c>
      <c r="H1168">
        <v>64439.896529999998</v>
      </c>
      <c r="I1168">
        <v>64439.896529999998</v>
      </c>
      <c r="J1168" t="s">
        <v>148</v>
      </c>
      <c r="K1168" t="s">
        <v>148</v>
      </c>
      <c r="L1168">
        <v>2.8</v>
      </c>
      <c r="M1168" t="s">
        <v>151</v>
      </c>
      <c r="N1168">
        <v>4</v>
      </c>
      <c r="O1168">
        <v>5.2</v>
      </c>
      <c r="P1168">
        <v>2</v>
      </c>
      <c r="Q1168">
        <v>800</v>
      </c>
      <c r="R1168">
        <v>0.93420837199999995</v>
      </c>
      <c r="S1168" t="s">
        <v>150</v>
      </c>
      <c r="T1168">
        <v>5</v>
      </c>
      <c r="U1168">
        <v>0</v>
      </c>
      <c r="V1168">
        <v>5</v>
      </c>
      <c r="W1168">
        <v>0</v>
      </c>
      <c r="X1168" t="s">
        <v>149</v>
      </c>
      <c r="Y1168" t="s">
        <v>1019</v>
      </c>
    </row>
    <row r="1169" spans="1:25">
      <c r="A1169" t="s">
        <v>1349</v>
      </c>
      <c r="B1169" s="113">
        <v>45422</v>
      </c>
      <c r="C1169" t="s">
        <v>159</v>
      </c>
      <c r="D1169" t="s">
        <v>168</v>
      </c>
      <c r="E1169">
        <v>54</v>
      </c>
      <c r="F1169">
        <v>571</v>
      </c>
      <c r="G1169" t="s">
        <v>176</v>
      </c>
      <c r="H1169">
        <v>106159.5546</v>
      </c>
      <c r="I1169">
        <v>106159.5546</v>
      </c>
      <c r="J1169" t="s">
        <v>148</v>
      </c>
      <c r="K1169" t="s">
        <v>148</v>
      </c>
      <c r="L1169">
        <v>1.4</v>
      </c>
      <c r="M1169" t="s">
        <v>149</v>
      </c>
      <c r="N1169">
        <v>0</v>
      </c>
      <c r="O1169">
        <v>1.9</v>
      </c>
      <c r="P1169">
        <v>2</v>
      </c>
      <c r="Q1169">
        <v>1600</v>
      </c>
      <c r="R1169">
        <v>0.97910922499999997</v>
      </c>
      <c r="S1169" t="s">
        <v>150</v>
      </c>
      <c r="T1169">
        <v>5</v>
      </c>
      <c r="U1169">
        <v>0</v>
      </c>
      <c r="V1169">
        <v>5</v>
      </c>
      <c r="W1169">
        <v>0</v>
      </c>
      <c r="X1169" t="s">
        <v>149</v>
      </c>
      <c r="Y1169" t="s">
        <v>1019</v>
      </c>
    </row>
    <row r="1170" spans="1:25">
      <c r="A1170" t="s">
        <v>1350</v>
      </c>
      <c r="B1170" s="113">
        <v>45426</v>
      </c>
      <c r="C1170" t="s">
        <v>162</v>
      </c>
      <c r="D1170" t="s">
        <v>187</v>
      </c>
      <c r="E1170">
        <v>48</v>
      </c>
      <c r="F1170">
        <v>755</v>
      </c>
      <c r="G1170" t="s">
        <v>176</v>
      </c>
      <c r="H1170">
        <v>63746.074000000001</v>
      </c>
      <c r="I1170">
        <v>63746.074000000001</v>
      </c>
      <c r="J1170" t="s">
        <v>148</v>
      </c>
      <c r="K1170" t="s">
        <v>148</v>
      </c>
      <c r="L1170">
        <v>2.8</v>
      </c>
      <c r="M1170" t="s">
        <v>151</v>
      </c>
      <c r="N1170">
        <v>5</v>
      </c>
      <c r="O1170">
        <v>4.5999999999999996</v>
      </c>
      <c r="P1170">
        <v>3</v>
      </c>
      <c r="Q1170">
        <v>1800</v>
      </c>
      <c r="R1170">
        <v>0.99899830899999997</v>
      </c>
      <c r="S1170" t="s">
        <v>150</v>
      </c>
      <c r="T1170">
        <v>5</v>
      </c>
      <c r="U1170">
        <v>0</v>
      </c>
      <c r="V1170">
        <v>5</v>
      </c>
      <c r="W1170">
        <v>0</v>
      </c>
      <c r="X1170" t="s">
        <v>149</v>
      </c>
      <c r="Y1170" t="s">
        <v>1019</v>
      </c>
    </row>
    <row r="1171" spans="1:25">
      <c r="A1171" t="s">
        <v>1351</v>
      </c>
      <c r="B1171" s="113">
        <v>45427</v>
      </c>
      <c r="C1171" t="s">
        <v>162</v>
      </c>
      <c r="D1171" t="s">
        <v>163</v>
      </c>
      <c r="E1171">
        <v>32</v>
      </c>
      <c r="F1171">
        <v>941</v>
      </c>
      <c r="G1171" t="s">
        <v>169</v>
      </c>
      <c r="H1171">
        <v>29211.403470000001</v>
      </c>
      <c r="I1171">
        <v>29211.403470000001</v>
      </c>
      <c r="J1171" t="s">
        <v>170</v>
      </c>
      <c r="K1171" t="s">
        <v>170</v>
      </c>
      <c r="L1171">
        <v>9.1</v>
      </c>
      <c r="M1171" t="s">
        <v>149</v>
      </c>
      <c r="N1171">
        <v>2</v>
      </c>
      <c r="O1171">
        <v>0.9</v>
      </c>
      <c r="P1171">
        <v>4</v>
      </c>
      <c r="Q1171">
        <v>1500</v>
      </c>
      <c r="R1171">
        <v>0.99336754900000002</v>
      </c>
      <c r="S1171" t="s">
        <v>150</v>
      </c>
      <c r="T1171">
        <v>5</v>
      </c>
      <c r="U1171">
        <v>0</v>
      </c>
      <c r="V1171">
        <v>5</v>
      </c>
      <c r="W1171">
        <v>0</v>
      </c>
      <c r="X1171" t="s">
        <v>149</v>
      </c>
      <c r="Y1171" t="s">
        <v>1019</v>
      </c>
    </row>
    <row r="1172" spans="1:25">
      <c r="A1172" t="s">
        <v>1352</v>
      </c>
      <c r="B1172" s="113">
        <v>45437</v>
      </c>
      <c r="C1172" t="s">
        <v>159</v>
      </c>
      <c r="D1172" t="s">
        <v>209</v>
      </c>
      <c r="E1172">
        <v>39</v>
      </c>
      <c r="F1172">
        <v>808</v>
      </c>
      <c r="G1172" t="s">
        <v>176</v>
      </c>
      <c r="H1172">
        <v>41418.489780000004</v>
      </c>
      <c r="I1172">
        <v>41418.489780000004</v>
      </c>
      <c r="J1172" t="s">
        <v>148</v>
      </c>
      <c r="K1172" t="s">
        <v>148</v>
      </c>
      <c r="L1172">
        <v>3.5</v>
      </c>
      <c r="M1172" t="s">
        <v>149</v>
      </c>
      <c r="N1172">
        <v>3</v>
      </c>
      <c r="O1172">
        <v>12.3</v>
      </c>
      <c r="P1172">
        <v>3</v>
      </c>
      <c r="Q1172">
        <v>800</v>
      </c>
      <c r="R1172">
        <v>0.96236078400000002</v>
      </c>
      <c r="S1172" t="s">
        <v>150</v>
      </c>
      <c r="T1172">
        <v>5</v>
      </c>
      <c r="U1172">
        <v>0</v>
      </c>
      <c r="V1172">
        <v>5</v>
      </c>
      <c r="W1172">
        <v>0</v>
      </c>
      <c r="X1172" t="s">
        <v>149</v>
      </c>
      <c r="Y1172" t="s">
        <v>1019</v>
      </c>
    </row>
    <row r="1173" spans="1:25">
      <c r="A1173" t="s">
        <v>1353</v>
      </c>
      <c r="B1173" s="113">
        <v>45439</v>
      </c>
      <c r="C1173" t="s">
        <v>162</v>
      </c>
      <c r="D1173" t="s">
        <v>195</v>
      </c>
      <c r="E1173">
        <v>34</v>
      </c>
      <c r="F1173">
        <v>628</v>
      </c>
      <c r="G1173" t="s">
        <v>147</v>
      </c>
      <c r="H1173">
        <v>165174.01439999999</v>
      </c>
      <c r="I1173">
        <v>165174.01439999999</v>
      </c>
      <c r="J1173" t="s">
        <v>148</v>
      </c>
      <c r="K1173" t="s">
        <v>148</v>
      </c>
      <c r="L1173">
        <v>1.2</v>
      </c>
      <c r="M1173" t="s">
        <v>149</v>
      </c>
      <c r="N1173">
        <v>5</v>
      </c>
      <c r="O1173">
        <v>1.8</v>
      </c>
      <c r="P1173">
        <v>4</v>
      </c>
      <c r="Q1173">
        <v>1500</v>
      </c>
      <c r="R1173">
        <v>0.90677009600000003</v>
      </c>
      <c r="S1173" t="s">
        <v>150</v>
      </c>
      <c r="T1173">
        <v>5</v>
      </c>
      <c r="U1173">
        <v>0</v>
      </c>
      <c r="V1173">
        <v>5</v>
      </c>
      <c r="W1173">
        <v>0</v>
      </c>
      <c r="X1173" t="s">
        <v>149</v>
      </c>
      <c r="Y1173" t="s">
        <v>1019</v>
      </c>
    </row>
    <row r="1174" spans="1:25">
      <c r="A1174" t="s">
        <v>1354</v>
      </c>
      <c r="B1174" s="113">
        <v>45441</v>
      </c>
      <c r="C1174" t="s">
        <v>159</v>
      </c>
      <c r="D1174" t="s">
        <v>165</v>
      </c>
      <c r="E1174">
        <v>50</v>
      </c>
      <c r="F1174">
        <v>715</v>
      </c>
      <c r="G1174" t="s">
        <v>147</v>
      </c>
      <c r="H1174">
        <v>36525.279029999998</v>
      </c>
      <c r="I1174">
        <v>36525.279029999998</v>
      </c>
      <c r="J1174" t="s">
        <v>221</v>
      </c>
      <c r="K1174" t="s">
        <v>221</v>
      </c>
      <c r="L1174">
        <v>1.8</v>
      </c>
      <c r="M1174" t="s">
        <v>149</v>
      </c>
      <c r="N1174">
        <v>2</v>
      </c>
      <c r="O1174">
        <v>6.3</v>
      </c>
      <c r="P1174">
        <v>4</v>
      </c>
      <c r="Q1174">
        <v>800</v>
      </c>
      <c r="R1174">
        <v>0.82801557299999995</v>
      </c>
      <c r="S1174" t="s">
        <v>150</v>
      </c>
      <c r="T1174">
        <v>5</v>
      </c>
      <c r="U1174">
        <v>0</v>
      </c>
      <c r="V1174">
        <v>5</v>
      </c>
      <c r="W1174">
        <v>0</v>
      </c>
      <c r="X1174" t="s">
        <v>149</v>
      </c>
      <c r="Y1174" t="s">
        <v>1019</v>
      </c>
    </row>
    <row r="1175" spans="1:25">
      <c r="A1175" t="s">
        <v>1355</v>
      </c>
      <c r="B1175" s="113">
        <v>45442</v>
      </c>
      <c r="C1175" t="s">
        <v>145</v>
      </c>
      <c r="D1175" t="s">
        <v>172</v>
      </c>
      <c r="E1175">
        <v>38</v>
      </c>
      <c r="F1175">
        <v>667</v>
      </c>
      <c r="G1175" t="s">
        <v>147</v>
      </c>
      <c r="H1175">
        <v>46708.236810000002</v>
      </c>
      <c r="I1175">
        <v>46708.236810000002</v>
      </c>
      <c r="J1175" t="s">
        <v>148</v>
      </c>
      <c r="K1175" t="s">
        <v>148</v>
      </c>
      <c r="L1175">
        <v>8.6999999999999993</v>
      </c>
      <c r="M1175" t="s">
        <v>149</v>
      </c>
      <c r="N1175">
        <v>3</v>
      </c>
      <c r="O1175">
        <v>0.8</v>
      </c>
      <c r="P1175">
        <v>3</v>
      </c>
      <c r="Q1175">
        <v>1600</v>
      </c>
      <c r="R1175">
        <v>0.72810903299999996</v>
      </c>
      <c r="S1175" t="s">
        <v>198</v>
      </c>
      <c r="Y1175" t="s">
        <v>199</v>
      </c>
    </row>
    <row r="1176" spans="1:25">
      <c r="A1176" t="s">
        <v>1356</v>
      </c>
      <c r="B1176" s="113">
        <v>45445</v>
      </c>
      <c r="C1176" t="s">
        <v>162</v>
      </c>
      <c r="D1176" t="s">
        <v>190</v>
      </c>
      <c r="E1176">
        <v>43</v>
      </c>
      <c r="F1176">
        <v>721</v>
      </c>
      <c r="G1176" t="s">
        <v>169</v>
      </c>
      <c r="H1176">
        <v>17565.512429999999</v>
      </c>
      <c r="I1176">
        <v>17565.512429999999</v>
      </c>
      <c r="J1176" t="s">
        <v>221</v>
      </c>
      <c r="K1176" t="s">
        <v>221</v>
      </c>
      <c r="L1176">
        <v>2.5</v>
      </c>
      <c r="M1176" t="s">
        <v>149</v>
      </c>
      <c r="N1176">
        <v>3</v>
      </c>
      <c r="O1176">
        <v>6</v>
      </c>
      <c r="P1176">
        <v>2</v>
      </c>
      <c r="Q1176">
        <v>1700</v>
      </c>
      <c r="R1176">
        <v>0.60960263299999995</v>
      </c>
      <c r="S1176" t="s">
        <v>198</v>
      </c>
      <c r="Y1176" t="s">
        <v>199</v>
      </c>
    </row>
    <row r="1177" spans="1:25">
      <c r="A1177" t="s">
        <v>1357</v>
      </c>
      <c r="B1177" s="113">
        <v>45446</v>
      </c>
      <c r="C1177" t="s">
        <v>162</v>
      </c>
      <c r="D1177" t="s">
        <v>187</v>
      </c>
      <c r="E1177">
        <v>52</v>
      </c>
      <c r="F1177">
        <v>730</v>
      </c>
      <c r="G1177" t="s">
        <v>155</v>
      </c>
      <c r="H1177">
        <v>24688.76686</v>
      </c>
      <c r="I1177">
        <v>24688.76686</v>
      </c>
      <c r="J1177" t="s">
        <v>148</v>
      </c>
      <c r="K1177" t="s">
        <v>148</v>
      </c>
      <c r="L1177">
        <v>22.2</v>
      </c>
      <c r="M1177" t="s">
        <v>149</v>
      </c>
      <c r="N1177">
        <v>2</v>
      </c>
      <c r="O1177">
        <v>0.3</v>
      </c>
      <c r="P1177">
        <v>3</v>
      </c>
      <c r="Q1177">
        <v>1000</v>
      </c>
      <c r="R1177">
        <v>0.47552366899999998</v>
      </c>
      <c r="S1177" t="s">
        <v>150</v>
      </c>
      <c r="T1177">
        <v>5</v>
      </c>
      <c r="U1177">
        <v>0</v>
      </c>
      <c r="V1177">
        <v>5</v>
      </c>
      <c r="W1177">
        <v>0</v>
      </c>
      <c r="X1177" t="s">
        <v>149</v>
      </c>
      <c r="Y1177" t="s">
        <v>1019</v>
      </c>
    </row>
    <row r="1178" spans="1:25">
      <c r="A1178" t="s">
        <v>1358</v>
      </c>
      <c r="B1178" s="113">
        <v>45449</v>
      </c>
      <c r="C1178" t="s">
        <v>162</v>
      </c>
      <c r="D1178" t="s">
        <v>190</v>
      </c>
      <c r="E1178">
        <v>32</v>
      </c>
      <c r="F1178">
        <v>587</v>
      </c>
      <c r="G1178" t="s">
        <v>176</v>
      </c>
      <c r="H1178">
        <v>33597.688090000003</v>
      </c>
      <c r="I1178">
        <v>33597.688090000003</v>
      </c>
      <c r="J1178" t="s">
        <v>148</v>
      </c>
      <c r="K1178" t="s">
        <v>148</v>
      </c>
      <c r="L1178">
        <v>3.6</v>
      </c>
      <c r="M1178" t="s">
        <v>149</v>
      </c>
      <c r="N1178">
        <v>4</v>
      </c>
      <c r="O1178">
        <v>6.6</v>
      </c>
      <c r="P1178">
        <v>2</v>
      </c>
      <c r="Q1178">
        <v>1500</v>
      </c>
      <c r="R1178">
        <v>0.32929724700000002</v>
      </c>
      <c r="S1178" t="s">
        <v>150</v>
      </c>
      <c r="T1178">
        <v>4</v>
      </c>
      <c r="U1178">
        <v>0</v>
      </c>
      <c r="V1178">
        <v>4</v>
      </c>
      <c r="W1178">
        <v>0</v>
      </c>
      <c r="X1178" t="s">
        <v>149</v>
      </c>
      <c r="Y1178" t="s">
        <v>1019</v>
      </c>
    </row>
    <row r="1179" spans="1:25">
      <c r="A1179" t="s">
        <v>1359</v>
      </c>
      <c r="B1179" s="113">
        <v>45449</v>
      </c>
      <c r="C1179" t="s">
        <v>145</v>
      </c>
      <c r="D1179" t="s">
        <v>213</v>
      </c>
      <c r="E1179">
        <v>37</v>
      </c>
      <c r="F1179">
        <v>562</v>
      </c>
      <c r="G1179" t="s">
        <v>155</v>
      </c>
      <c r="H1179">
        <v>33144.766109999997</v>
      </c>
      <c r="I1179">
        <v>33144.766109999997</v>
      </c>
      <c r="J1179" t="s">
        <v>148</v>
      </c>
      <c r="K1179" t="s">
        <v>148</v>
      </c>
      <c r="L1179">
        <v>5.3</v>
      </c>
      <c r="M1179" t="s">
        <v>149</v>
      </c>
      <c r="N1179">
        <v>1</v>
      </c>
      <c r="O1179">
        <v>8</v>
      </c>
      <c r="P1179">
        <v>4</v>
      </c>
      <c r="Q1179">
        <v>1550</v>
      </c>
      <c r="R1179">
        <v>0.17465878500000001</v>
      </c>
      <c r="S1179" t="s">
        <v>150</v>
      </c>
      <c r="T1179">
        <v>4</v>
      </c>
      <c r="U1179">
        <v>0</v>
      </c>
      <c r="V1179">
        <v>4</v>
      </c>
      <c r="W1179">
        <v>0</v>
      </c>
      <c r="X1179" t="s">
        <v>149</v>
      </c>
      <c r="Y1179" t="s">
        <v>1019</v>
      </c>
    </row>
    <row r="1180" spans="1:25">
      <c r="A1180" t="s">
        <v>1360</v>
      </c>
      <c r="B1180" s="113">
        <v>45450</v>
      </c>
      <c r="C1180" t="s">
        <v>159</v>
      </c>
      <c r="D1180" t="s">
        <v>168</v>
      </c>
      <c r="E1180">
        <v>48</v>
      </c>
      <c r="F1180">
        <v>812</v>
      </c>
      <c r="G1180" t="s">
        <v>155</v>
      </c>
      <c r="H1180">
        <v>52038.26324</v>
      </c>
      <c r="I1180">
        <v>52038.26324</v>
      </c>
      <c r="J1180" t="s">
        <v>148</v>
      </c>
      <c r="K1180" t="s">
        <v>148</v>
      </c>
      <c r="L1180">
        <v>1.6</v>
      </c>
      <c r="M1180" t="s">
        <v>149</v>
      </c>
      <c r="N1180">
        <v>1</v>
      </c>
      <c r="O1180">
        <v>1.6</v>
      </c>
      <c r="P1180">
        <v>2</v>
      </c>
      <c r="Q1180">
        <v>950</v>
      </c>
      <c r="R1180">
        <v>1.5558588E-2</v>
      </c>
      <c r="S1180" t="s">
        <v>150</v>
      </c>
      <c r="T1180">
        <v>4</v>
      </c>
      <c r="U1180">
        <v>0</v>
      </c>
      <c r="V1180">
        <v>4</v>
      </c>
      <c r="W1180">
        <v>0</v>
      </c>
      <c r="X1180" t="s">
        <v>149</v>
      </c>
      <c r="Y1180" t="s">
        <v>1019</v>
      </c>
    </row>
    <row r="1181" spans="1:25">
      <c r="A1181" t="s">
        <v>1361</v>
      </c>
      <c r="B1181" s="113">
        <v>45451</v>
      </c>
      <c r="C1181" t="s">
        <v>145</v>
      </c>
      <c r="D1181" t="s">
        <v>146</v>
      </c>
      <c r="E1181">
        <v>33</v>
      </c>
      <c r="F1181">
        <v>757</v>
      </c>
      <c r="G1181" t="s">
        <v>169</v>
      </c>
      <c r="H1181">
        <v>88586.967950000006</v>
      </c>
      <c r="I1181">
        <v>88586.967950000006</v>
      </c>
      <c r="J1181" t="s">
        <v>183</v>
      </c>
      <c r="K1181" t="s">
        <v>183</v>
      </c>
      <c r="L1181">
        <v>3.2</v>
      </c>
      <c r="M1181" t="s">
        <v>149</v>
      </c>
      <c r="N1181">
        <v>1</v>
      </c>
      <c r="O1181">
        <v>6</v>
      </c>
      <c r="P1181">
        <v>3</v>
      </c>
      <c r="Q1181">
        <v>1250</v>
      </c>
      <c r="R1181">
        <v>0.14393906000000001</v>
      </c>
      <c r="S1181" t="s">
        <v>150</v>
      </c>
      <c r="T1181">
        <v>4</v>
      </c>
      <c r="U1181">
        <v>0</v>
      </c>
      <c r="V1181">
        <v>4</v>
      </c>
      <c r="W1181">
        <v>0</v>
      </c>
      <c r="X1181" t="s">
        <v>149</v>
      </c>
      <c r="Y1181" t="s">
        <v>1019</v>
      </c>
    </row>
    <row r="1182" spans="1:25">
      <c r="A1182" t="s">
        <v>1362</v>
      </c>
      <c r="B1182" s="113">
        <v>45454</v>
      </c>
      <c r="C1182" t="s">
        <v>162</v>
      </c>
      <c r="D1182" t="s">
        <v>163</v>
      </c>
      <c r="E1182">
        <v>48</v>
      </c>
      <c r="F1182">
        <v>675</v>
      </c>
      <c r="G1182" t="s">
        <v>176</v>
      </c>
      <c r="H1182">
        <v>89312.265820000001</v>
      </c>
      <c r="J1182" t="s">
        <v>183</v>
      </c>
      <c r="K1182" t="s">
        <v>183</v>
      </c>
      <c r="L1182">
        <v>6.1</v>
      </c>
      <c r="M1182" t="s">
        <v>149</v>
      </c>
      <c r="N1182">
        <v>1</v>
      </c>
      <c r="O1182">
        <v>0.8</v>
      </c>
      <c r="P1182">
        <v>2</v>
      </c>
      <c r="Q1182">
        <v>800</v>
      </c>
      <c r="R1182">
        <v>0.29975972200000001</v>
      </c>
      <c r="S1182" t="s">
        <v>150</v>
      </c>
      <c r="T1182">
        <v>4</v>
      </c>
      <c r="U1182">
        <v>0</v>
      </c>
      <c r="V1182">
        <v>4</v>
      </c>
      <c r="W1182">
        <v>0</v>
      </c>
      <c r="X1182" t="s">
        <v>149</v>
      </c>
      <c r="Y1182" t="s">
        <v>1019</v>
      </c>
    </row>
    <row r="1183" spans="1:25">
      <c r="A1183" t="s">
        <v>1363</v>
      </c>
      <c r="B1183" s="113">
        <v>45455</v>
      </c>
      <c r="C1183" t="s">
        <v>145</v>
      </c>
      <c r="D1183" t="s">
        <v>172</v>
      </c>
      <c r="E1183">
        <v>38</v>
      </c>
      <c r="F1183">
        <v>777</v>
      </c>
      <c r="G1183" t="s">
        <v>147</v>
      </c>
      <c r="H1183">
        <v>21330.053459999999</v>
      </c>
      <c r="I1183">
        <v>21330.053459999999</v>
      </c>
      <c r="J1183" t="s">
        <v>170</v>
      </c>
      <c r="K1183" t="s">
        <v>170</v>
      </c>
      <c r="L1183">
        <v>0.6</v>
      </c>
      <c r="M1183" t="s">
        <v>149</v>
      </c>
      <c r="N1183">
        <v>3</v>
      </c>
      <c r="O1183">
        <v>0.5</v>
      </c>
      <c r="P1183">
        <v>2</v>
      </c>
      <c r="Q1183">
        <v>900</v>
      </c>
      <c r="R1183">
        <v>0.44792289299999999</v>
      </c>
      <c r="S1183" t="s">
        <v>198</v>
      </c>
      <c r="Y1183" t="s">
        <v>199</v>
      </c>
    </row>
    <row r="1184" spans="1:25">
      <c r="A1184" t="s">
        <v>1364</v>
      </c>
      <c r="B1184" s="113">
        <v>45455</v>
      </c>
      <c r="C1184" t="s">
        <v>162</v>
      </c>
      <c r="D1184" t="s">
        <v>193</v>
      </c>
      <c r="E1184">
        <v>58</v>
      </c>
      <c r="F1184">
        <v>783</v>
      </c>
      <c r="G1184" t="s">
        <v>176</v>
      </c>
      <c r="H1184">
        <v>22008.31004</v>
      </c>
      <c r="I1184">
        <v>22008.31004</v>
      </c>
      <c r="J1184" t="s">
        <v>183</v>
      </c>
      <c r="K1184" t="s">
        <v>183</v>
      </c>
      <c r="L1184">
        <v>5.0999999999999996</v>
      </c>
      <c r="M1184" t="s">
        <v>149</v>
      </c>
      <c r="N1184">
        <v>2</v>
      </c>
      <c r="O1184">
        <v>2.5</v>
      </c>
      <c r="P1184">
        <v>3</v>
      </c>
      <c r="Q1184">
        <v>1150</v>
      </c>
      <c r="R1184">
        <v>0.58464367799999994</v>
      </c>
      <c r="S1184" t="s">
        <v>150</v>
      </c>
      <c r="T1184">
        <v>4</v>
      </c>
      <c r="U1184">
        <v>0</v>
      </c>
      <c r="V1184">
        <v>4</v>
      </c>
      <c r="W1184">
        <v>0</v>
      </c>
      <c r="X1184" t="s">
        <v>149</v>
      </c>
      <c r="Y1184" t="s">
        <v>1019</v>
      </c>
    </row>
    <row r="1185" spans="1:25">
      <c r="A1185" t="s">
        <v>1365</v>
      </c>
      <c r="B1185" s="113">
        <v>45455</v>
      </c>
      <c r="C1185" t="s">
        <v>162</v>
      </c>
      <c r="D1185" t="s">
        <v>190</v>
      </c>
      <c r="E1185">
        <v>32</v>
      </c>
      <c r="F1185">
        <v>591</v>
      </c>
      <c r="G1185" t="s">
        <v>176</v>
      </c>
      <c r="H1185">
        <v>44168.622289999999</v>
      </c>
      <c r="I1185">
        <v>44168.622289999999</v>
      </c>
      <c r="J1185" t="s">
        <v>148</v>
      </c>
      <c r="K1185" t="s">
        <v>148</v>
      </c>
      <c r="L1185">
        <v>7.4</v>
      </c>
      <c r="M1185" t="s">
        <v>149</v>
      </c>
      <c r="N1185">
        <v>0</v>
      </c>
      <c r="O1185">
        <v>0.3</v>
      </c>
      <c r="P1185">
        <v>4</v>
      </c>
      <c r="Q1185">
        <v>800</v>
      </c>
      <c r="R1185">
        <v>0.70642948800000005</v>
      </c>
      <c r="S1185" t="s">
        <v>150</v>
      </c>
      <c r="T1185">
        <v>4</v>
      </c>
      <c r="U1185">
        <v>0</v>
      </c>
      <c r="V1185">
        <v>4</v>
      </c>
      <c r="W1185">
        <v>0</v>
      </c>
      <c r="X1185" t="s">
        <v>149</v>
      </c>
      <c r="Y1185" t="s">
        <v>1019</v>
      </c>
    </row>
    <row r="1186" spans="1:25">
      <c r="A1186" t="s">
        <v>1366</v>
      </c>
      <c r="B1186" s="113">
        <v>45456</v>
      </c>
      <c r="C1186" t="s">
        <v>162</v>
      </c>
      <c r="D1186" t="s">
        <v>179</v>
      </c>
      <c r="E1186">
        <v>57</v>
      </c>
      <c r="F1186">
        <v>798</v>
      </c>
      <c r="G1186" t="s">
        <v>147</v>
      </c>
      <c r="H1186">
        <v>124674.6936</v>
      </c>
      <c r="I1186">
        <v>124674.6936</v>
      </c>
      <c r="J1186" t="s">
        <v>148</v>
      </c>
      <c r="K1186" t="s">
        <v>148</v>
      </c>
      <c r="L1186">
        <v>4.8</v>
      </c>
      <c r="M1186" t="s">
        <v>149</v>
      </c>
      <c r="N1186">
        <v>1</v>
      </c>
      <c r="O1186">
        <v>0.1</v>
      </c>
      <c r="P1186">
        <v>3</v>
      </c>
      <c r="Q1186">
        <v>1200</v>
      </c>
      <c r="R1186">
        <v>0.81016925100000003</v>
      </c>
      <c r="S1186" t="s">
        <v>150</v>
      </c>
      <c r="T1186">
        <v>4</v>
      </c>
      <c r="U1186">
        <v>0</v>
      </c>
      <c r="V1186">
        <v>4</v>
      </c>
      <c r="W1186">
        <v>0</v>
      </c>
      <c r="X1186" t="s">
        <v>149</v>
      </c>
      <c r="Y1186" t="s">
        <v>1019</v>
      </c>
    </row>
    <row r="1187" spans="1:25">
      <c r="A1187" t="s">
        <v>1367</v>
      </c>
      <c r="B1187" s="113">
        <v>45459</v>
      </c>
      <c r="C1187" t="s">
        <v>145</v>
      </c>
      <c r="D1187" t="s">
        <v>146</v>
      </c>
      <c r="E1187">
        <v>29</v>
      </c>
      <c r="F1187">
        <v>788</v>
      </c>
      <c r="G1187" t="s">
        <v>147</v>
      </c>
      <c r="H1187">
        <v>168790.46290000001</v>
      </c>
      <c r="I1187">
        <v>168790.46290000001</v>
      </c>
      <c r="J1187" t="s">
        <v>148</v>
      </c>
      <c r="K1187" t="s">
        <v>148</v>
      </c>
      <c r="L1187">
        <v>4</v>
      </c>
      <c r="M1187" t="s">
        <v>149</v>
      </c>
      <c r="N1187">
        <v>4</v>
      </c>
      <c r="O1187">
        <v>1.3</v>
      </c>
      <c r="P1187">
        <v>4</v>
      </c>
      <c r="Q1187">
        <v>800</v>
      </c>
      <c r="R1187">
        <v>0.89321288899999995</v>
      </c>
      <c r="S1187" t="s">
        <v>150</v>
      </c>
      <c r="T1187">
        <v>4</v>
      </c>
      <c r="U1187">
        <v>1</v>
      </c>
      <c r="V1187">
        <v>4</v>
      </c>
      <c r="W1187">
        <v>0</v>
      </c>
      <c r="X1187" t="s">
        <v>149</v>
      </c>
      <c r="Y1187" t="s">
        <v>1019</v>
      </c>
    </row>
    <row r="1188" spans="1:25">
      <c r="A1188" t="s">
        <v>1368</v>
      </c>
      <c r="B1188" s="113">
        <v>45459</v>
      </c>
      <c r="C1188" t="s">
        <v>162</v>
      </c>
      <c r="D1188" t="s">
        <v>163</v>
      </c>
      <c r="E1188">
        <v>40</v>
      </c>
      <c r="F1188">
        <v>610</v>
      </c>
      <c r="G1188" t="s">
        <v>169</v>
      </c>
      <c r="H1188">
        <v>54614.51251</v>
      </c>
      <c r="I1188">
        <v>54614.51251</v>
      </c>
      <c r="J1188" t="s">
        <v>148</v>
      </c>
      <c r="K1188" t="s">
        <v>148</v>
      </c>
      <c r="L1188">
        <v>12.2</v>
      </c>
      <c r="M1188" t="s">
        <v>149</v>
      </c>
      <c r="N1188">
        <v>3</v>
      </c>
      <c r="O1188">
        <v>0.9</v>
      </c>
      <c r="P1188">
        <v>3</v>
      </c>
      <c r="Q1188">
        <v>1700</v>
      </c>
      <c r="R1188">
        <v>0.95343901600000003</v>
      </c>
      <c r="S1188" t="s">
        <v>150</v>
      </c>
      <c r="T1188">
        <v>4</v>
      </c>
      <c r="U1188">
        <v>0</v>
      </c>
      <c r="V1188">
        <v>4</v>
      </c>
      <c r="W1188">
        <v>0</v>
      </c>
      <c r="X1188" t="s">
        <v>149</v>
      </c>
      <c r="Y1188" t="s">
        <v>1019</v>
      </c>
    </row>
    <row r="1189" spans="1:25">
      <c r="A1189" t="s">
        <v>1369</v>
      </c>
      <c r="B1189" s="113">
        <v>45463</v>
      </c>
      <c r="C1189" t="s">
        <v>162</v>
      </c>
      <c r="D1189" t="s">
        <v>190</v>
      </c>
      <c r="E1189">
        <v>32</v>
      </c>
      <c r="F1189">
        <v>626</v>
      </c>
      <c r="G1189" t="s">
        <v>169</v>
      </c>
      <c r="H1189">
        <v>50159.071920000002</v>
      </c>
      <c r="I1189">
        <v>50159.071920000002</v>
      </c>
      <c r="J1189" t="s">
        <v>183</v>
      </c>
      <c r="K1189" t="s">
        <v>183</v>
      </c>
      <c r="L1189">
        <v>2.9</v>
      </c>
      <c r="M1189" t="s">
        <v>149</v>
      </c>
      <c r="N1189">
        <v>2</v>
      </c>
      <c r="O1189">
        <v>8.5</v>
      </c>
      <c r="P1189">
        <v>2</v>
      </c>
      <c r="Q1189">
        <v>1800</v>
      </c>
      <c r="R1189">
        <v>0.98930913099999995</v>
      </c>
      <c r="S1189" t="s">
        <v>150</v>
      </c>
      <c r="T1189">
        <v>4</v>
      </c>
      <c r="U1189">
        <v>0</v>
      </c>
      <c r="V1189">
        <v>4</v>
      </c>
      <c r="W1189">
        <v>0</v>
      </c>
      <c r="X1189" t="s">
        <v>149</v>
      </c>
      <c r="Y1189" t="s">
        <v>1019</v>
      </c>
    </row>
    <row r="1190" spans="1:25">
      <c r="A1190" t="s">
        <v>1370</v>
      </c>
      <c r="B1190" s="113">
        <v>45464</v>
      </c>
      <c r="C1190" t="s">
        <v>162</v>
      </c>
      <c r="D1190" t="s">
        <v>163</v>
      </c>
      <c r="E1190">
        <v>38</v>
      </c>
      <c r="F1190">
        <v>627</v>
      </c>
      <c r="G1190" t="s">
        <v>169</v>
      </c>
      <c r="H1190">
        <v>93572.918350000007</v>
      </c>
      <c r="I1190">
        <v>93572.918350000007</v>
      </c>
      <c r="J1190" t="s">
        <v>156</v>
      </c>
      <c r="K1190" t="s">
        <v>156</v>
      </c>
      <c r="L1190">
        <v>4.7</v>
      </c>
      <c r="M1190" t="s">
        <v>149</v>
      </c>
      <c r="N1190">
        <v>4</v>
      </c>
      <c r="O1190">
        <v>12.1</v>
      </c>
      <c r="P1190">
        <v>3</v>
      </c>
      <c r="Q1190">
        <v>850</v>
      </c>
      <c r="R1190">
        <v>0.99990691600000003</v>
      </c>
      <c r="S1190" t="s">
        <v>150</v>
      </c>
      <c r="T1190">
        <v>4</v>
      </c>
      <c r="U1190">
        <v>0</v>
      </c>
      <c r="V1190">
        <v>4</v>
      </c>
      <c r="W1190">
        <v>0</v>
      </c>
      <c r="X1190" t="s">
        <v>149</v>
      </c>
      <c r="Y1190" t="s">
        <v>1019</v>
      </c>
    </row>
    <row r="1191" spans="1:25">
      <c r="A1191" t="s">
        <v>1371</v>
      </c>
      <c r="B1191" s="113">
        <v>45465</v>
      </c>
      <c r="C1191" t="s">
        <v>145</v>
      </c>
      <c r="D1191" t="s">
        <v>280</v>
      </c>
      <c r="E1191">
        <v>45</v>
      </c>
      <c r="F1191">
        <v>614</v>
      </c>
      <c r="G1191" t="s">
        <v>155</v>
      </c>
      <c r="H1191">
        <v>39999.377460000003</v>
      </c>
      <c r="I1191">
        <v>39999.377460000003</v>
      </c>
      <c r="J1191" t="s">
        <v>148</v>
      </c>
      <c r="K1191" t="s">
        <v>148</v>
      </c>
      <c r="L1191">
        <v>3.3</v>
      </c>
      <c r="M1191" t="s">
        <v>149</v>
      </c>
      <c r="N1191">
        <v>4</v>
      </c>
      <c r="O1191">
        <v>10.3</v>
      </c>
      <c r="P1191">
        <v>3</v>
      </c>
      <c r="Q1191">
        <v>1250</v>
      </c>
      <c r="R1191">
        <v>0.98496164500000005</v>
      </c>
      <c r="S1191" t="s">
        <v>150</v>
      </c>
      <c r="T1191">
        <v>4</v>
      </c>
      <c r="U1191">
        <v>0</v>
      </c>
      <c r="V1191">
        <v>4</v>
      </c>
      <c r="W1191">
        <v>0</v>
      </c>
      <c r="X1191" t="s">
        <v>149</v>
      </c>
      <c r="Y1191" t="s">
        <v>1019</v>
      </c>
    </row>
    <row r="1192" spans="1:25">
      <c r="A1192" t="s">
        <v>1372</v>
      </c>
      <c r="B1192" s="113">
        <v>45467</v>
      </c>
      <c r="C1192" t="s">
        <v>145</v>
      </c>
      <c r="D1192" t="s">
        <v>280</v>
      </c>
      <c r="E1192">
        <v>54</v>
      </c>
      <c r="F1192">
        <v>803</v>
      </c>
      <c r="G1192" t="s">
        <v>176</v>
      </c>
      <c r="H1192">
        <v>3111935</v>
      </c>
      <c r="I1192">
        <v>3111935</v>
      </c>
      <c r="J1192" t="s">
        <v>181</v>
      </c>
      <c r="K1192" t="s">
        <v>181</v>
      </c>
      <c r="L1192">
        <v>23.6</v>
      </c>
      <c r="M1192" t="s">
        <v>149</v>
      </c>
      <c r="N1192">
        <v>3</v>
      </c>
      <c r="O1192">
        <v>2.6</v>
      </c>
      <c r="P1192">
        <v>3</v>
      </c>
      <c r="Q1192">
        <v>0</v>
      </c>
      <c r="R1192">
        <v>0.944855102</v>
      </c>
      <c r="S1192" t="s">
        <v>198</v>
      </c>
      <c r="T1192">
        <v>0</v>
      </c>
      <c r="U1192">
        <v>0</v>
      </c>
      <c r="V1192">
        <v>0</v>
      </c>
      <c r="W1192">
        <v>0</v>
      </c>
      <c r="X1192" t="s">
        <v>149</v>
      </c>
      <c r="Y1192" t="s">
        <v>199</v>
      </c>
    </row>
    <row r="1193" spans="1:25">
      <c r="A1193" t="s">
        <v>1373</v>
      </c>
      <c r="B1193" s="113">
        <v>45467</v>
      </c>
      <c r="C1193" t="s">
        <v>162</v>
      </c>
      <c r="D1193" t="s">
        <v>163</v>
      </c>
      <c r="E1193">
        <v>45</v>
      </c>
      <c r="F1193">
        <v>704</v>
      </c>
      <c r="G1193" t="s">
        <v>169</v>
      </c>
      <c r="H1193">
        <v>32406.926930000001</v>
      </c>
      <c r="J1193" t="s">
        <v>148</v>
      </c>
      <c r="K1193" t="s">
        <v>148</v>
      </c>
      <c r="L1193">
        <v>0.2</v>
      </c>
      <c r="M1193" t="s">
        <v>149</v>
      </c>
      <c r="N1193">
        <v>3</v>
      </c>
      <c r="O1193">
        <v>1.2</v>
      </c>
      <c r="P1193">
        <v>4</v>
      </c>
      <c r="Q1193">
        <v>1350</v>
      </c>
      <c r="R1193">
        <v>0.88061182699999996</v>
      </c>
      <c r="S1193" t="s">
        <v>150</v>
      </c>
      <c r="T1193">
        <v>4</v>
      </c>
      <c r="U1193">
        <v>0</v>
      </c>
      <c r="V1193">
        <v>4</v>
      </c>
      <c r="W1193">
        <v>0</v>
      </c>
      <c r="X1193" t="s">
        <v>149</v>
      </c>
      <c r="Y1193" t="s">
        <v>1019</v>
      </c>
    </row>
    <row r="1194" spans="1:25">
      <c r="A1194" t="s">
        <v>1374</v>
      </c>
      <c r="B1194" s="113">
        <v>45467</v>
      </c>
      <c r="C1194" t="s">
        <v>159</v>
      </c>
      <c r="D1194" t="s">
        <v>160</v>
      </c>
      <c r="E1194">
        <v>49</v>
      </c>
      <c r="F1194">
        <v>687</v>
      </c>
      <c r="G1194" t="s">
        <v>155</v>
      </c>
      <c r="H1194">
        <v>66234.893649999998</v>
      </c>
      <c r="I1194">
        <v>66234.893649999998</v>
      </c>
      <c r="J1194" t="s">
        <v>156</v>
      </c>
      <c r="K1194" t="s">
        <v>156</v>
      </c>
      <c r="L1194">
        <v>0</v>
      </c>
      <c r="M1194" t="s">
        <v>149</v>
      </c>
      <c r="N1194">
        <v>3</v>
      </c>
      <c r="O1194">
        <v>0.9</v>
      </c>
      <c r="P1194">
        <v>2</v>
      </c>
      <c r="Q1194">
        <v>1200</v>
      </c>
      <c r="R1194">
        <v>0.79387293999999997</v>
      </c>
      <c r="S1194" t="s">
        <v>150</v>
      </c>
      <c r="T1194">
        <v>4</v>
      </c>
      <c r="U1194">
        <v>0</v>
      </c>
      <c r="V1194">
        <v>4</v>
      </c>
      <c r="W1194">
        <v>0</v>
      </c>
      <c r="X1194" t="s">
        <v>149</v>
      </c>
      <c r="Y1194" t="s">
        <v>1019</v>
      </c>
    </row>
    <row r="1195" spans="1:25">
      <c r="A1195" t="s">
        <v>1375</v>
      </c>
      <c r="B1195" s="113">
        <v>45470</v>
      </c>
      <c r="C1195" t="s">
        <v>145</v>
      </c>
      <c r="D1195" t="s">
        <v>146</v>
      </c>
      <c r="E1195">
        <v>50</v>
      </c>
      <c r="F1195">
        <v>758</v>
      </c>
      <c r="G1195" t="s">
        <v>155</v>
      </c>
      <c r="H1195">
        <v>68397.016650000005</v>
      </c>
      <c r="I1195">
        <v>68397.016650000005</v>
      </c>
      <c r="J1195" t="s">
        <v>148</v>
      </c>
      <c r="K1195" t="s">
        <v>148</v>
      </c>
      <c r="L1195">
        <v>4.8</v>
      </c>
      <c r="M1195" t="s">
        <v>149</v>
      </c>
      <c r="N1195">
        <v>4</v>
      </c>
      <c r="O1195">
        <v>0.9</v>
      </c>
      <c r="P1195">
        <v>2</v>
      </c>
      <c r="Q1195">
        <v>1150</v>
      </c>
      <c r="R1195">
        <v>0.68685422600000001</v>
      </c>
      <c r="S1195" t="s">
        <v>150</v>
      </c>
      <c r="T1195">
        <v>4</v>
      </c>
      <c r="U1195">
        <v>0</v>
      </c>
      <c r="V1195">
        <v>4</v>
      </c>
      <c r="W1195">
        <v>0</v>
      </c>
      <c r="X1195" t="s">
        <v>149</v>
      </c>
      <c r="Y1195" t="s">
        <v>1019</v>
      </c>
    </row>
    <row r="1196" spans="1:25">
      <c r="A1196" t="s">
        <v>1376</v>
      </c>
      <c r="B1196" s="113">
        <v>45471</v>
      </c>
      <c r="C1196" t="s">
        <v>162</v>
      </c>
      <c r="D1196" t="s">
        <v>163</v>
      </c>
      <c r="E1196">
        <v>49</v>
      </c>
      <c r="F1196">
        <v>734</v>
      </c>
      <c r="G1196" t="s">
        <v>176</v>
      </c>
      <c r="H1196">
        <v>41499.173089999997</v>
      </c>
      <c r="I1196">
        <v>41499.173089999997</v>
      </c>
      <c r="J1196" t="s">
        <v>148</v>
      </c>
      <c r="K1196" t="s">
        <v>148</v>
      </c>
      <c r="L1196">
        <v>1.8</v>
      </c>
      <c r="M1196" t="s">
        <v>149</v>
      </c>
      <c r="N1196">
        <v>5</v>
      </c>
      <c r="O1196">
        <v>5.2</v>
      </c>
      <c r="P1196">
        <v>2</v>
      </c>
      <c r="Q1196">
        <v>1200</v>
      </c>
      <c r="R1196">
        <v>0.56228952200000004</v>
      </c>
      <c r="S1196" t="s">
        <v>150</v>
      </c>
      <c r="T1196">
        <v>4</v>
      </c>
      <c r="U1196">
        <v>0</v>
      </c>
      <c r="V1196">
        <v>4</v>
      </c>
      <c r="W1196">
        <v>0</v>
      </c>
      <c r="X1196" t="s">
        <v>149</v>
      </c>
      <c r="Y1196" t="s">
        <v>1019</v>
      </c>
    </row>
    <row r="1197" spans="1:25">
      <c r="A1197" t="s">
        <v>1377</v>
      </c>
      <c r="B1197" s="113">
        <v>45473</v>
      </c>
      <c r="C1197" t="s">
        <v>162</v>
      </c>
      <c r="D1197" t="s">
        <v>179</v>
      </c>
      <c r="E1197">
        <v>42</v>
      </c>
      <c r="F1197">
        <v>706</v>
      </c>
      <c r="G1197" t="s">
        <v>147</v>
      </c>
      <c r="H1197">
        <v>110639.1976</v>
      </c>
      <c r="I1197">
        <v>110639.1976</v>
      </c>
      <c r="J1197" t="s">
        <v>148</v>
      </c>
      <c r="K1197" t="s">
        <v>148</v>
      </c>
      <c r="L1197">
        <v>7</v>
      </c>
      <c r="M1197" t="s">
        <v>149</v>
      </c>
      <c r="N1197">
        <v>5</v>
      </c>
      <c r="O1197">
        <v>7.4</v>
      </c>
      <c r="P1197">
        <v>3</v>
      </c>
      <c r="Q1197">
        <v>1500</v>
      </c>
      <c r="R1197">
        <v>0.42336088999999999</v>
      </c>
      <c r="S1197" t="s">
        <v>150</v>
      </c>
      <c r="T1197">
        <v>4</v>
      </c>
      <c r="U1197">
        <v>0</v>
      </c>
      <c r="V1197">
        <v>4</v>
      </c>
      <c r="W1197">
        <v>0</v>
      </c>
      <c r="X1197" t="s">
        <v>149</v>
      </c>
      <c r="Y1197" t="s">
        <v>1019</v>
      </c>
    </row>
    <row r="1198" spans="1:25">
      <c r="A1198" t="s">
        <v>1378</v>
      </c>
      <c r="B1198" s="113">
        <v>45474</v>
      </c>
      <c r="C1198" t="s">
        <v>162</v>
      </c>
      <c r="D1198" t="s">
        <v>179</v>
      </c>
      <c r="E1198">
        <v>27</v>
      </c>
      <c r="F1198">
        <v>705</v>
      </c>
      <c r="G1198" t="s">
        <v>176</v>
      </c>
      <c r="H1198">
        <v>144090.28169999999</v>
      </c>
      <c r="J1198" t="s">
        <v>148</v>
      </c>
      <c r="K1198" t="s">
        <v>148</v>
      </c>
      <c r="L1198">
        <v>6</v>
      </c>
      <c r="M1198" t="s">
        <v>149</v>
      </c>
      <c r="N1198">
        <v>3</v>
      </c>
      <c r="O1198">
        <v>3</v>
      </c>
      <c r="P1198">
        <v>4</v>
      </c>
      <c r="Q1198">
        <v>1000</v>
      </c>
      <c r="R1198">
        <v>0.27361732</v>
      </c>
      <c r="S1198" t="s">
        <v>150</v>
      </c>
      <c r="T1198">
        <v>4</v>
      </c>
      <c r="U1198">
        <v>0</v>
      </c>
      <c r="V1198">
        <v>4</v>
      </c>
      <c r="W1198">
        <v>0</v>
      </c>
      <c r="X1198" t="s">
        <v>149</v>
      </c>
      <c r="Y1198" t="s">
        <v>1019</v>
      </c>
    </row>
    <row r="1199" spans="1:25">
      <c r="A1199" t="s">
        <v>1379</v>
      </c>
      <c r="B1199" s="113">
        <v>45476</v>
      </c>
      <c r="C1199" t="s">
        <v>159</v>
      </c>
      <c r="D1199" t="s">
        <v>168</v>
      </c>
      <c r="E1199">
        <v>63</v>
      </c>
      <c r="F1199">
        <v>709</v>
      </c>
      <c r="G1199" t="s">
        <v>147</v>
      </c>
      <c r="H1199">
        <v>37379.018320000003</v>
      </c>
      <c r="I1199">
        <v>37379.018320000003</v>
      </c>
      <c r="J1199" t="s">
        <v>148</v>
      </c>
      <c r="K1199" t="s">
        <v>148</v>
      </c>
      <c r="L1199">
        <v>6.2</v>
      </c>
      <c r="M1199" t="s">
        <v>149</v>
      </c>
      <c r="N1199">
        <v>2</v>
      </c>
      <c r="O1199">
        <v>1.6</v>
      </c>
      <c r="P1199">
        <v>0</v>
      </c>
      <c r="Q1199">
        <v>1000</v>
      </c>
      <c r="R1199">
        <v>0.116884076</v>
      </c>
      <c r="S1199" t="s">
        <v>150</v>
      </c>
      <c r="T1199">
        <v>4</v>
      </c>
      <c r="U1199">
        <v>0</v>
      </c>
      <c r="V1199">
        <v>4</v>
      </c>
      <c r="W1199">
        <v>0</v>
      </c>
      <c r="X1199" t="s">
        <v>149</v>
      </c>
      <c r="Y1199" t="s">
        <v>1019</v>
      </c>
    </row>
    <row r="1200" spans="1:25">
      <c r="A1200" t="s">
        <v>1380</v>
      </c>
      <c r="B1200" s="113">
        <v>45476</v>
      </c>
      <c r="C1200" t="s">
        <v>145</v>
      </c>
      <c r="D1200" t="s">
        <v>146</v>
      </c>
      <c r="E1200">
        <v>41</v>
      </c>
      <c r="F1200">
        <v>646</v>
      </c>
      <c r="G1200" t="s">
        <v>169</v>
      </c>
      <c r="H1200">
        <v>31209.778279999999</v>
      </c>
      <c r="I1200">
        <v>31209.778279999999</v>
      </c>
      <c r="J1200" t="s">
        <v>183</v>
      </c>
      <c r="K1200" t="s">
        <v>183</v>
      </c>
      <c r="L1200">
        <v>0.3</v>
      </c>
      <c r="M1200" t="s">
        <v>149</v>
      </c>
      <c r="N1200">
        <v>1</v>
      </c>
      <c r="O1200">
        <v>2.1</v>
      </c>
      <c r="P1200">
        <v>3</v>
      </c>
      <c r="Q1200">
        <v>1900</v>
      </c>
      <c r="R1200">
        <v>4.2835021000000001E-2</v>
      </c>
      <c r="S1200" t="s">
        <v>198</v>
      </c>
      <c r="Y1200" t="s">
        <v>199</v>
      </c>
    </row>
    <row r="1201" spans="1:25">
      <c r="A1201" t="s">
        <v>1381</v>
      </c>
      <c r="B1201" s="113">
        <v>45480</v>
      </c>
      <c r="C1201" t="s">
        <v>159</v>
      </c>
      <c r="D1201" t="s">
        <v>197</v>
      </c>
      <c r="E1201">
        <v>57</v>
      </c>
      <c r="F1201">
        <v>625</v>
      </c>
      <c r="G1201" t="s">
        <v>176</v>
      </c>
      <c r="H1201">
        <v>50332.968289999997</v>
      </c>
      <c r="I1201">
        <v>50332.968289999997</v>
      </c>
      <c r="J1201" t="s">
        <v>156</v>
      </c>
      <c r="K1201" t="s">
        <v>156</v>
      </c>
      <c r="L1201">
        <v>16</v>
      </c>
      <c r="M1201" t="s">
        <v>149</v>
      </c>
      <c r="N1201">
        <v>1</v>
      </c>
      <c r="O1201">
        <v>2.9</v>
      </c>
      <c r="P1201">
        <v>3</v>
      </c>
      <c r="Q1201">
        <v>850</v>
      </c>
      <c r="R1201">
        <v>0.20145987900000001</v>
      </c>
      <c r="S1201" t="s">
        <v>150</v>
      </c>
      <c r="T1201">
        <v>3</v>
      </c>
      <c r="U1201">
        <v>0</v>
      </c>
      <c r="V1201">
        <v>3</v>
      </c>
      <c r="W1201">
        <v>0</v>
      </c>
      <c r="X1201" t="s">
        <v>149</v>
      </c>
      <c r="Y1201" t="s">
        <v>1019</v>
      </c>
    </row>
    <row r="1202" spans="1:25">
      <c r="A1202" t="s">
        <v>1382</v>
      </c>
      <c r="B1202" s="113">
        <v>45480</v>
      </c>
      <c r="C1202" t="s">
        <v>162</v>
      </c>
      <c r="D1202" t="s">
        <v>195</v>
      </c>
      <c r="E1202">
        <v>56</v>
      </c>
      <c r="F1202">
        <v>677</v>
      </c>
      <c r="G1202" t="s">
        <v>147</v>
      </c>
      <c r="H1202">
        <v>19157.881140000001</v>
      </c>
      <c r="I1202">
        <v>19157.881140000001</v>
      </c>
      <c r="J1202" t="s">
        <v>148</v>
      </c>
      <c r="K1202" t="s">
        <v>148</v>
      </c>
      <c r="L1202">
        <v>0.2</v>
      </c>
      <c r="M1202" t="s">
        <v>149</v>
      </c>
      <c r="N1202">
        <v>3</v>
      </c>
      <c r="O1202">
        <v>3</v>
      </c>
      <c r="P1202">
        <v>3</v>
      </c>
      <c r="Q1202">
        <v>1550</v>
      </c>
      <c r="R1202">
        <v>0.35493835800000001</v>
      </c>
      <c r="S1202" t="s">
        <v>198</v>
      </c>
      <c r="Y1202" t="s">
        <v>199</v>
      </c>
    </row>
    <row r="1203" spans="1:25">
      <c r="A1203" t="s">
        <v>1383</v>
      </c>
      <c r="B1203" s="113">
        <v>45483</v>
      </c>
      <c r="C1203" t="s">
        <v>162</v>
      </c>
      <c r="D1203" t="s">
        <v>163</v>
      </c>
      <c r="E1203">
        <v>60</v>
      </c>
      <c r="F1203">
        <v>775</v>
      </c>
      <c r="G1203" t="s">
        <v>176</v>
      </c>
      <c r="H1203">
        <v>115415.0625</v>
      </c>
      <c r="I1203">
        <v>115415.0625</v>
      </c>
      <c r="J1203" t="s">
        <v>221</v>
      </c>
      <c r="K1203" t="s">
        <v>221</v>
      </c>
      <c r="L1203">
        <v>2.2999999999999998</v>
      </c>
      <c r="M1203" t="s">
        <v>149</v>
      </c>
      <c r="N1203">
        <v>2</v>
      </c>
      <c r="O1203">
        <v>10.8</v>
      </c>
      <c r="P1203">
        <v>3</v>
      </c>
      <c r="Q1203">
        <v>1350</v>
      </c>
      <c r="R1203">
        <v>0.49934978200000002</v>
      </c>
      <c r="S1203" t="s">
        <v>150</v>
      </c>
      <c r="T1203">
        <v>3</v>
      </c>
      <c r="U1203">
        <v>0</v>
      </c>
      <c r="V1203">
        <v>3</v>
      </c>
      <c r="W1203">
        <v>0</v>
      </c>
      <c r="X1203" t="s">
        <v>149</v>
      </c>
      <c r="Y1203" t="s">
        <v>1019</v>
      </c>
    </row>
    <row r="1204" spans="1:25">
      <c r="A1204" t="s">
        <v>1384</v>
      </c>
      <c r="B1204" s="113">
        <v>45487</v>
      </c>
      <c r="C1204" t="s">
        <v>159</v>
      </c>
      <c r="D1204" t="s">
        <v>168</v>
      </c>
      <c r="E1204">
        <v>32</v>
      </c>
      <c r="F1204">
        <v>769</v>
      </c>
      <c r="G1204" t="s">
        <v>169</v>
      </c>
      <c r="H1204">
        <v>31409.152180000001</v>
      </c>
      <c r="I1204">
        <v>31409.152180000001</v>
      </c>
      <c r="J1204" t="s">
        <v>249</v>
      </c>
      <c r="K1204" t="s">
        <v>249</v>
      </c>
      <c r="L1204">
        <v>7.1</v>
      </c>
      <c r="M1204" t="s">
        <v>149</v>
      </c>
      <c r="N1204">
        <v>5</v>
      </c>
      <c r="O1204">
        <v>0.8</v>
      </c>
      <c r="P1204">
        <v>2</v>
      </c>
      <c r="Q1204">
        <v>800</v>
      </c>
      <c r="R1204">
        <v>0.63100509999999999</v>
      </c>
      <c r="S1204" t="s">
        <v>150</v>
      </c>
      <c r="T1204">
        <v>3</v>
      </c>
      <c r="U1204">
        <v>0</v>
      </c>
      <c r="V1204">
        <v>3</v>
      </c>
      <c r="W1204">
        <v>0</v>
      </c>
      <c r="X1204" t="s">
        <v>149</v>
      </c>
      <c r="Y1204" t="s">
        <v>1019</v>
      </c>
    </row>
    <row r="1205" spans="1:25">
      <c r="A1205" t="s">
        <v>1385</v>
      </c>
      <c r="B1205" s="113">
        <v>45488</v>
      </c>
      <c r="C1205" t="s">
        <v>145</v>
      </c>
      <c r="D1205" t="s">
        <v>172</v>
      </c>
      <c r="E1205">
        <v>42</v>
      </c>
      <c r="F1205">
        <v>592</v>
      </c>
      <c r="G1205" t="s">
        <v>155</v>
      </c>
      <c r="H1205">
        <v>40619.660470000003</v>
      </c>
      <c r="I1205">
        <v>40619.660470000003</v>
      </c>
      <c r="J1205" t="s">
        <v>170</v>
      </c>
      <c r="K1205" t="s">
        <v>170</v>
      </c>
      <c r="L1205">
        <v>14.8</v>
      </c>
      <c r="M1205" t="s">
        <v>149</v>
      </c>
      <c r="N1205">
        <v>3</v>
      </c>
      <c r="O1205">
        <v>7.1</v>
      </c>
      <c r="P1205">
        <v>0</v>
      </c>
      <c r="Q1205">
        <v>1500</v>
      </c>
      <c r="R1205">
        <v>0.74654111899999998</v>
      </c>
      <c r="S1205" t="s">
        <v>150</v>
      </c>
      <c r="T1205">
        <v>3</v>
      </c>
      <c r="U1205">
        <v>0</v>
      </c>
      <c r="V1205">
        <v>3</v>
      </c>
      <c r="W1205">
        <v>0</v>
      </c>
      <c r="X1205" t="s">
        <v>149</v>
      </c>
      <c r="Y1205" t="s">
        <v>1019</v>
      </c>
    </row>
    <row r="1206" spans="1:25">
      <c r="A1206" t="s">
        <v>1386</v>
      </c>
      <c r="B1206" s="113">
        <v>45490</v>
      </c>
      <c r="C1206" t="s">
        <v>162</v>
      </c>
      <c r="D1206" t="s">
        <v>195</v>
      </c>
      <c r="E1206">
        <v>45</v>
      </c>
      <c r="F1206">
        <v>683</v>
      </c>
      <c r="G1206" t="s">
        <v>147</v>
      </c>
      <c r="H1206">
        <v>33343.380510000003</v>
      </c>
      <c r="I1206">
        <v>33343.380510000003</v>
      </c>
      <c r="J1206" t="s">
        <v>170</v>
      </c>
      <c r="K1206" t="s">
        <v>170</v>
      </c>
      <c r="L1206">
        <v>9.3000000000000007</v>
      </c>
      <c r="M1206" t="s">
        <v>149</v>
      </c>
      <c r="N1206">
        <v>1</v>
      </c>
      <c r="O1206">
        <v>7.4</v>
      </c>
      <c r="P1206">
        <v>3</v>
      </c>
      <c r="Q1206">
        <v>900</v>
      </c>
      <c r="R1206">
        <v>0.84300642199999998</v>
      </c>
      <c r="S1206" t="s">
        <v>150</v>
      </c>
      <c r="T1206">
        <v>3</v>
      </c>
      <c r="U1206">
        <v>0</v>
      </c>
      <c r="V1206">
        <v>3</v>
      </c>
      <c r="W1206">
        <v>0</v>
      </c>
      <c r="X1206" t="s">
        <v>149</v>
      </c>
      <c r="Y1206" t="s">
        <v>1019</v>
      </c>
    </row>
    <row r="1207" spans="1:25">
      <c r="A1207" t="s">
        <v>1387</v>
      </c>
      <c r="B1207" s="113">
        <v>45490</v>
      </c>
      <c r="C1207" t="s">
        <v>159</v>
      </c>
      <c r="D1207" t="s">
        <v>197</v>
      </c>
      <c r="E1207">
        <v>61</v>
      </c>
      <c r="F1207">
        <v>830</v>
      </c>
      <c r="G1207" t="s">
        <v>176</v>
      </c>
      <c r="H1207">
        <v>53955.107100000001</v>
      </c>
      <c r="I1207">
        <v>53955.107100000001</v>
      </c>
      <c r="J1207" t="s">
        <v>148</v>
      </c>
      <c r="K1207" t="s">
        <v>148</v>
      </c>
      <c r="L1207">
        <v>6.3</v>
      </c>
      <c r="M1207" t="s">
        <v>149</v>
      </c>
      <c r="N1207">
        <v>7</v>
      </c>
      <c r="O1207">
        <v>13.6</v>
      </c>
      <c r="P1207">
        <v>3</v>
      </c>
      <c r="Q1207">
        <v>1050</v>
      </c>
      <c r="R1207">
        <v>0.91793676000000002</v>
      </c>
      <c r="S1207" t="s">
        <v>150</v>
      </c>
      <c r="T1207">
        <v>3</v>
      </c>
      <c r="U1207">
        <v>0</v>
      </c>
      <c r="V1207">
        <v>3</v>
      </c>
      <c r="W1207">
        <v>0</v>
      </c>
      <c r="X1207" t="s">
        <v>149</v>
      </c>
      <c r="Y1207" t="s">
        <v>1019</v>
      </c>
    </row>
    <row r="1208" spans="1:25">
      <c r="A1208" t="s">
        <v>1388</v>
      </c>
      <c r="B1208" s="113">
        <v>45494</v>
      </c>
      <c r="C1208" t="s">
        <v>162</v>
      </c>
      <c r="D1208" t="s">
        <v>179</v>
      </c>
      <c r="E1208">
        <v>66</v>
      </c>
      <c r="F1208">
        <v>827</v>
      </c>
      <c r="G1208" t="s">
        <v>147</v>
      </c>
      <c r="H1208">
        <v>46774.838089999997</v>
      </c>
      <c r="I1208">
        <v>46774.838089999997</v>
      </c>
      <c r="J1208" t="s">
        <v>221</v>
      </c>
      <c r="K1208" t="s">
        <v>221</v>
      </c>
      <c r="L1208">
        <v>7.2</v>
      </c>
      <c r="M1208" t="s">
        <v>149</v>
      </c>
      <c r="N1208">
        <v>3</v>
      </c>
      <c r="O1208">
        <v>2.4</v>
      </c>
      <c r="P1208">
        <v>3</v>
      </c>
      <c r="Q1208">
        <v>1300</v>
      </c>
      <c r="R1208">
        <v>0.96941800600000005</v>
      </c>
      <c r="S1208" t="s">
        <v>150</v>
      </c>
      <c r="T1208">
        <v>3</v>
      </c>
      <c r="U1208">
        <v>0</v>
      </c>
      <c r="V1208">
        <v>3</v>
      </c>
      <c r="W1208">
        <v>0</v>
      </c>
      <c r="X1208" t="s">
        <v>149</v>
      </c>
      <c r="Y1208" t="s">
        <v>1019</v>
      </c>
    </row>
    <row r="1209" spans="1:25">
      <c r="A1209" t="s">
        <v>1389</v>
      </c>
      <c r="B1209" s="113">
        <v>45495</v>
      </c>
      <c r="C1209" t="s">
        <v>162</v>
      </c>
      <c r="D1209" t="s">
        <v>193</v>
      </c>
      <c r="E1209">
        <v>31</v>
      </c>
      <c r="F1209">
        <v>512</v>
      </c>
      <c r="G1209" t="s">
        <v>169</v>
      </c>
      <c r="H1209">
        <v>17893.208470000001</v>
      </c>
      <c r="I1209">
        <v>17893.208470000001</v>
      </c>
      <c r="J1209" t="s">
        <v>249</v>
      </c>
      <c r="K1209" t="s">
        <v>249</v>
      </c>
      <c r="L1209">
        <v>4</v>
      </c>
      <c r="M1209" t="s">
        <v>149</v>
      </c>
      <c r="N1209">
        <v>5</v>
      </c>
      <c r="O1209">
        <v>30</v>
      </c>
      <c r="P1209">
        <v>3</v>
      </c>
      <c r="Q1209">
        <v>1650</v>
      </c>
      <c r="R1209">
        <v>0.99613505000000002</v>
      </c>
      <c r="S1209" t="s">
        <v>198</v>
      </c>
      <c r="Y1209" t="s">
        <v>199</v>
      </c>
    </row>
    <row r="1210" spans="1:25">
      <c r="A1210" t="s">
        <v>1390</v>
      </c>
      <c r="B1210" s="113">
        <v>45500</v>
      </c>
      <c r="C1210" t="s">
        <v>145</v>
      </c>
      <c r="D1210" t="s">
        <v>154</v>
      </c>
      <c r="E1210">
        <v>45</v>
      </c>
      <c r="F1210">
        <v>719</v>
      </c>
      <c r="G1210" t="s">
        <v>147</v>
      </c>
      <c r="H1210">
        <v>194425.35500000001</v>
      </c>
      <c r="J1210" t="s">
        <v>148</v>
      </c>
      <c r="K1210" t="s">
        <v>148</v>
      </c>
      <c r="L1210">
        <v>4.5</v>
      </c>
      <c r="M1210" t="s">
        <v>149</v>
      </c>
      <c r="N1210">
        <v>3</v>
      </c>
      <c r="O1210">
        <v>0.8</v>
      </c>
      <c r="P1210">
        <v>1</v>
      </c>
      <c r="Q1210">
        <v>1250</v>
      </c>
      <c r="R1210">
        <v>0.997405392</v>
      </c>
      <c r="S1210" t="s">
        <v>150</v>
      </c>
      <c r="T1210">
        <v>3</v>
      </c>
      <c r="U1210">
        <v>0</v>
      </c>
      <c r="V1210">
        <v>3</v>
      </c>
      <c r="W1210">
        <v>0</v>
      </c>
      <c r="X1210" t="s">
        <v>149</v>
      </c>
      <c r="Y1210" t="s">
        <v>1019</v>
      </c>
    </row>
    <row r="1211" spans="1:25">
      <c r="A1211" t="s">
        <v>1391</v>
      </c>
      <c r="B1211" s="113">
        <v>45503</v>
      </c>
      <c r="C1211" t="s">
        <v>162</v>
      </c>
      <c r="D1211" t="s">
        <v>163</v>
      </c>
      <c r="E1211">
        <v>38</v>
      </c>
      <c r="F1211">
        <v>699</v>
      </c>
      <c r="G1211" t="s">
        <v>169</v>
      </c>
      <c r="H1211">
        <v>28621.955259999999</v>
      </c>
      <c r="I1211">
        <v>28621.955259999999</v>
      </c>
      <c r="J1211" t="s">
        <v>148</v>
      </c>
      <c r="K1211" t="s">
        <v>148</v>
      </c>
      <c r="L1211">
        <v>15.3</v>
      </c>
      <c r="M1211" t="s">
        <v>149</v>
      </c>
      <c r="N1211">
        <v>5</v>
      </c>
      <c r="O1211">
        <v>2.7</v>
      </c>
      <c r="P1211">
        <v>2</v>
      </c>
      <c r="Q1211">
        <v>1150</v>
      </c>
      <c r="R1211">
        <v>0.97319658099999995</v>
      </c>
      <c r="S1211" t="s">
        <v>150</v>
      </c>
      <c r="T1211">
        <v>3</v>
      </c>
      <c r="U1211">
        <v>0</v>
      </c>
      <c r="V1211">
        <v>3</v>
      </c>
      <c r="W1211">
        <v>0</v>
      </c>
      <c r="X1211" t="s">
        <v>149</v>
      </c>
      <c r="Y1211" t="s">
        <v>1019</v>
      </c>
    </row>
    <row r="1212" spans="1:25">
      <c r="A1212" t="s">
        <v>1392</v>
      </c>
      <c r="B1212" s="113">
        <v>45504</v>
      </c>
      <c r="C1212" t="s">
        <v>162</v>
      </c>
      <c r="D1212" t="s">
        <v>193</v>
      </c>
      <c r="E1212">
        <v>35</v>
      </c>
      <c r="F1212">
        <v>758</v>
      </c>
      <c r="G1212" t="s">
        <v>155</v>
      </c>
      <c r="H1212">
        <v>38011.726390000003</v>
      </c>
      <c r="I1212">
        <v>38011.726390000003</v>
      </c>
      <c r="J1212" t="s">
        <v>183</v>
      </c>
      <c r="K1212" t="s">
        <v>183</v>
      </c>
      <c r="L1212">
        <v>2.1</v>
      </c>
      <c r="M1212" t="s">
        <v>151</v>
      </c>
      <c r="N1212">
        <v>1</v>
      </c>
      <c r="O1212">
        <v>8.9</v>
      </c>
      <c r="P1212">
        <v>3</v>
      </c>
      <c r="Q1212">
        <v>1800</v>
      </c>
      <c r="R1212">
        <v>0.92412704099999998</v>
      </c>
      <c r="S1212" t="s">
        <v>198</v>
      </c>
      <c r="Y1212" t="s">
        <v>199</v>
      </c>
    </row>
    <row r="1213" spans="1:25">
      <c r="A1213" t="s">
        <v>1393</v>
      </c>
      <c r="B1213" s="113">
        <v>45507</v>
      </c>
      <c r="C1213" t="s">
        <v>162</v>
      </c>
      <c r="D1213" t="s">
        <v>193</v>
      </c>
      <c r="E1213">
        <v>38</v>
      </c>
      <c r="F1213">
        <v>777</v>
      </c>
      <c r="G1213" t="s">
        <v>147</v>
      </c>
      <c r="H1213">
        <v>34294.827270000002</v>
      </c>
      <c r="I1213">
        <v>34294.827270000002</v>
      </c>
      <c r="J1213" t="s">
        <v>148</v>
      </c>
      <c r="K1213" t="s">
        <v>166</v>
      </c>
      <c r="L1213">
        <v>0.9</v>
      </c>
      <c r="M1213" t="s">
        <v>151</v>
      </c>
      <c r="N1213">
        <v>3</v>
      </c>
      <c r="O1213">
        <v>0.6</v>
      </c>
      <c r="P1213">
        <v>3</v>
      </c>
      <c r="Q1213">
        <v>1450</v>
      </c>
      <c r="R1213">
        <v>0.85145027600000001</v>
      </c>
      <c r="S1213" t="s">
        <v>198</v>
      </c>
      <c r="Y1213" t="s">
        <v>199</v>
      </c>
    </row>
    <row r="1214" spans="1:25">
      <c r="A1214" t="s">
        <v>1394</v>
      </c>
      <c r="B1214" s="113">
        <v>45507</v>
      </c>
      <c r="C1214" t="s">
        <v>162</v>
      </c>
      <c r="D1214" t="s">
        <v>179</v>
      </c>
      <c r="E1214">
        <v>48</v>
      </c>
      <c r="F1214">
        <v>629</v>
      </c>
      <c r="G1214" t="s">
        <v>147</v>
      </c>
      <c r="H1214">
        <v>100626.7497</v>
      </c>
      <c r="J1214" t="s">
        <v>183</v>
      </c>
      <c r="K1214" t="s">
        <v>183</v>
      </c>
      <c r="L1214">
        <v>4.5999999999999996</v>
      </c>
      <c r="M1214" t="s">
        <v>149</v>
      </c>
      <c r="N1214">
        <v>0</v>
      </c>
      <c r="O1214">
        <v>0.5</v>
      </c>
      <c r="P1214">
        <v>2</v>
      </c>
      <c r="Q1214">
        <v>1250</v>
      </c>
      <c r="R1214">
        <v>0.75702284500000006</v>
      </c>
      <c r="S1214" t="s">
        <v>150</v>
      </c>
      <c r="T1214">
        <v>2</v>
      </c>
      <c r="U1214">
        <v>0</v>
      </c>
      <c r="V1214">
        <v>2</v>
      </c>
      <c r="W1214">
        <v>0</v>
      </c>
      <c r="X1214" t="s">
        <v>149</v>
      </c>
      <c r="Y1214" t="s">
        <v>1019</v>
      </c>
    </row>
    <row r="1215" spans="1:25">
      <c r="A1215" t="s">
        <v>1395</v>
      </c>
      <c r="B1215" s="113">
        <v>45510</v>
      </c>
      <c r="C1215" t="s">
        <v>162</v>
      </c>
      <c r="D1215" t="s">
        <v>187</v>
      </c>
      <c r="E1215">
        <v>27</v>
      </c>
      <c r="F1215">
        <v>499</v>
      </c>
      <c r="G1215" t="s">
        <v>155</v>
      </c>
      <c r="H1215">
        <v>14289.078530000001</v>
      </c>
      <c r="I1215">
        <v>14289.078530000001</v>
      </c>
      <c r="J1215" t="s">
        <v>148</v>
      </c>
      <c r="K1215" t="s">
        <v>148</v>
      </c>
      <c r="L1215">
        <v>0.3</v>
      </c>
      <c r="M1215" t="s">
        <v>149</v>
      </c>
      <c r="N1215">
        <v>3</v>
      </c>
      <c r="O1215">
        <v>24.8</v>
      </c>
      <c r="P1215">
        <v>3</v>
      </c>
      <c r="Q1215">
        <v>1050</v>
      </c>
      <c r="R1215">
        <v>0.64325693799999994</v>
      </c>
      <c r="S1215" t="s">
        <v>198</v>
      </c>
      <c r="Y1215" t="s">
        <v>199</v>
      </c>
    </row>
    <row r="1216" spans="1:25">
      <c r="A1216" t="s">
        <v>1396</v>
      </c>
      <c r="B1216" s="113">
        <v>45515</v>
      </c>
      <c r="C1216" t="s">
        <v>162</v>
      </c>
      <c r="D1216" t="s">
        <v>163</v>
      </c>
      <c r="E1216">
        <v>34</v>
      </c>
      <c r="F1216">
        <v>798</v>
      </c>
      <c r="G1216" t="s">
        <v>147</v>
      </c>
      <c r="H1216">
        <v>22673.38884</v>
      </c>
      <c r="J1216" t="s">
        <v>148</v>
      </c>
      <c r="K1216" t="s">
        <v>148</v>
      </c>
      <c r="L1216">
        <v>0.4</v>
      </c>
      <c r="M1216" t="s">
        <v>149</v>
      </c>
      <c r="N1216">
        <v>3</v>
      </c>
      <c r="O1216">
        <v>1.2</v>
      </c>
      <c r="P1216">
        <v>3</v>
      </c>
      <c r="Q1216">
        <v>800</v>
      </c>
      <c r="R1216">
        <v>0.51305875300000003</v>
      </c>
      <c r="S1216" t="s">
        <v>150</v>
      </c>
      <c r="T1216">
        <v>2</v>
      </c>
      <c r="U1216">
        <v>0</v>
      </c>
      <c r="V1216">
        <v>2</v>
      </c>
      <c r="W1216">
        <v>0</v>
      </c>
      <c r="X1216" t="s">
        <v>149</v>
      </c>
      <c r="Y1216" t="s">
        <v>1019</v>
      </c>
    </row>
    <row r="1217" spans="1:25">
      <c r="A1217" t="s">
        <v>1397</v>
      </c>
      <c r="B1217" s="113">
        <v>45515</v>
      </c>
      <c r="C1217" t="s">
        <v>159</v>
      </c>
      <c r="D1217" t="s">
        <v>209</v>
      </c>
      <c r="E1217">
        <v>37</v>
      </c>
      <c r="F1217">
        <v>774</v>
      </c>
      <c r="G1217" t="s">
        <v>169</v>
      </c>
      <c r="H1217">
        <v>48782.061900000001</v>
      </c>
      <c r="I1217">
        <v>48782.061900000001</v>
      </c>
      <c r="J1217" t="s">
        <v>148</v>
      </c>
      <c r="K1217" t="s">
        <v>148</v>
      </c>
      <c r="L1217">
        <v>2.6</v>
      </c>
      <c r="M1217" t="s">
        <v>149</v>
      </c>
      <c r="N1217">
        <v>5</v>
      </c>
      <c r="O1217">
        <v>2</v>
      </c>
      <c r="P1217">
        <v>3</v>
      </c>
      <c r="Q1217">
        <v>800</v>
      </c>
      <c r="R1217">
        <v>0.36975426</v>
      </c>
      <c r="S1217" t="s">
        <v>150</v>
      </c>
      <c r="T1217">
        <v>2</v>
      </c>
      <c r="U1217">
        <v>0</v>
      </c>
      <c r="V1217">
        <v>2</v>
      </c>
      <c r="W1217">
        <v>0</v>
      </c>
      <c r="X1217" t="s">
        <v>149</v>
      </c>
      <c r="Y1217" t="s">
        <v>1019</v>
      </c>
    </row>
    <row r="1218" spans="1:25">
      <c r="A1218" t="s">
        <v>1398</v>
      </c>
      <c r="B1218" s="113">
        <v>45516</v>
      </c>
      <c r="C1218" t="s">
        <v>145</v>
      </c>
      <c r="D1218" t="s">
        <v>172</v>
      </c>
      <c r="E1218">
        <v>29</v>
      </c>
      <c r="F1218">
        <v>486</v>
      </c>
      <c r="G1218" t="s">
        <v>176</v>
      </c>
      <c r="H1218">
        <v>35701.998149999999</v>
      </c>
      <c r="J1218" t="s">
        <v>148</v>
      </c>
      <c r="K1218" t="s">
        <v>148</v>
      </c>
      <c r="L1218">
        <v>14.8</v>
      </c>
      <c r="M1218" t="s">
        <v>149</v>
      </c>
      <c r="N1218">
        <v>0</v>
      </c>
      <c r="O1218">
        <v>8.5</v>
      </c>
      <c r="P1218">
        <v>3</v>
      </c>
      <c r="Q1218">
        <v>1150</v>
      </c>
      <c r="R1218">
        <v>0.21700423399999999</v>
      </c>
      <c r="S1218" t="s">
        <v>150</v>
      </c>
      <c r="T1218">
        <v>2</v>
      </c>
      <c r="U1218">
        <v>0</v>
      </c>
      <c r="V1218">
        <v>2</v>
      </c>
      <c r="W1218">
        <v>0</v>
      </c>
      <c r="X1218" t="s">
        <v>149</v>
      </c>
      <c r="Y1218" t="s">
        <v>1019</v>
      </c>
    </row>
    <row r="1219" spans="1:25">
      <c r="A1219" t="s">
        <v>1399</v>
      </c>
      <c r="B1219" s="113">
        <v>45521</v>
      </c>
      <c r="C1219" t="s">
        <v>162</v>
      </c>
      <c r="D1219" t="s">
        <v>163</v>
      </c>
      <c r="E1219">
        <v>24</v>
      </c>
      <c r="F1219">
        <v>674</v>
      </c>
      <c r="G1219" t="s">
        <v>155</v>
      </c>
      <c r="H1219">
        <v>81562.32806</v>
      </c>
      <c r="I1219">
        <v>81562.32806</v>
      </c>
      <c r="J1219" t="s">
        <v>148</v>
      </c>
      <c r="K1219" t="s">
        <v>148</v>
      </c>
      <c r="L1219">
        <v>5.0999999999999996</v>
      </c>
      <c r="M1219" t="s">
        <v>149</v>
      </c>
      <c r="N1219">
        <v>1</v>
      </c>
      <c r="O1219">
        <v>8.8000000000000007</v>
      </c>
      <c r="P1219">
        <v>3</v>
      </c>
      <c r="Q1219">
        <v>800</v>
      </c>
      <c r="R1219">
        <v>5.8710740999999997E-2</v>
      </c>
      <c r="S1219" t="s">
        <v>150</v>
      </c>
      <c r="T1219">
        <v>2</v>
      </c>
      <c r="U1219">
        <v>0</v>
      </c>
      <c r="V1219">
        <v>2</v>
      </c>
      <c r="W1219">
        <v>0</v>
      </c>
      <c r="X1219" t="s">
        <v>149</v>
      </c>
      <c r="Y1219" t="s">
        <v>1019</v>
      </c>
    </row>
    <row r="1220" spans="1:25">
      <c r="A1220" t="s">
        <v>1400</v>
      </c>
      <c r="B1220" s="113">
        <v>45523</v>
      </c>
      <c r="C1220" t="s">
        <v>162</v>
      </c>
      <c r="D1220" t="s">
        <v>179</v>
      </c>
      <c r="E1220">
        <v>38</v>
      </c>
      <c r="F1220">
        <v>765</v>
      </c>
      <c r="G1220" t="s">
        <v>176</v>
      </c>
      <c r="H1220">
        <v>60634.800329999998</v>
      </c>
      <c r="J1220" t="s">
        <v>249</v>
      </c>
      <c r="K1220" t="s">
        <v>249</v>
      </c>
      <c r="L1220">
        <v>5.6</v>
      </c>
      <c r="M1220" t="s">
        <v>149</v>
      </c>
      <c r="N1220">
        <v>3</v>
      </c>
      <c r="O1220">
        <v>14.2</v>
      </c>
      <c r="P1220">
        <v>2</v>
      </c>
      <c r="Q1220">
        <v>900</v>
      </c>
      <c r="R1220">
        <v>0.101082543</v>
      </c>
      <c r="S1220" t="s">
        <v>150</v>
      </c>
      <c r="T1220">
        <v>2</v>
      </c>
      <c r="U1220">
        <v>0</v>
      </c>
      <c r="V1220">
        <v>2</v>
      </c>
      <c r="W1220">
        <v>0</v>
      </c>
      <c r="X1220" t="s">
        <v>149</v>
      </c>
      <c r="Y1220" t="s">
        <v>1019</v>
      </c>
    </row>
    <row r="1221" spans="1:25">
      <c r="A1221" t="s">
        <v>1401</v>
      </c>
      <c r="B1221" s="113">
        <v>45525</v>
      </c>
      <c r="C1221" t="s">
        <v>162</v>
      </c>
      <c r="D1221" t="s">
        <v>179</v>
      </c>
      <c r="E1221">
        <v>33</v>
      </c>
      <c r="F1221">
        <v>717</v>
      </c>
      <c r="G1221" t="s">
        <v>176</v>
      </c>
      <c r="H1221">
        <v>118484.9546</v>
      </c>
      <c r="J1221" t="s">
        <v>148</v>
      </c>
      <c r="K1221" t="s">
        <v>148</v>
      </c>
      <c r="L1221">
        <v>1.1000000000000001</v>
      </c>
      <c r="M1221" t="s">
        <v>149</v>
      </c>
      <c r="N1221">
        <v>1</v>
      </c>
      <c r="O1221">
        <v>6.5</v>
      </c>
      <c r="P1221">
        <v>4</v>
      </c>
      <c r="Q1221">
        <v>1900</v>
      </c>
      <c r="R1221">
        <v>0.25829363</v>
      </c>
      <c r="S1221" t="s">
        <v>150</v>
      </c>
      <c r="T1221">
        <v>2</v>
      </c>
      <c r="U1221">
        <v>0</v>
      </c>
      <c r="V1221">
        <v>2</v>
      </c>
      <c r="W1221">
        <v>0</v>
      </c>
      <c r="X1221" t="s">
        <v>149</v>
      </c>
      <c r="Y1221" t="s">
        <v>1019</v>
      </c>
    </row>
    <row r="1222" spans="1:25">
      <c r="A1222" t="s">
        <v>1402</v>
      </c>
      <c r="B1222" s="113">
        <v>45529</v>
      </c>
      <c r="C1222" t="s">
        <v>162</v>
      </c>
      <c r="D1222" t="s">
        <v>190</v>
      </c>
      <c r="E1222">
        <v>32</v>
      </c>
      <c r="F1222">
        <v>752</v>
      </c>
      <c r="G1222" t="s">
        <v>147</v>
      </c>
      <c r="H1222">
        <v>63193.974849999999</v>
      </c>
      <c r="J1222" t="s">
        <v>148</v>
      </c>
      <c r="K1222" t="s">
        <v>148</v>
      </c>
      <c r="L1222">
        <v>5.9</v>
      </c>
      <c r="M1222" t="s">
        <v>149</v>
      </c>
      <c r="N1222">
        <v>2</v>
      </c>
      <c r="O1222">
        <v>7</v>
      </c>
      <c r="P1222">
        <v>0</v>
      </c>
      <c r="Q1222">
        <v>1400</v>
      </c>
      <c r="R1222">
        <v>0.40890649400000001</v>
      </c>
      <c r="S1222" t="s">
        <v>150</v>
      </c>
      <c r="T1222">
        <v>2</v>
      </c>
      <c r="U1222">
        <v>0</v>
      </c>
      <c r="V1222">
        <v>2</v>
      </c>
      <c r="W1222">
        <v>0</v>
      </c>
      <c r="X1222" t="s">
        <v>149</v>
      </c>
      <c r="Y1222" t="s">
        <v>1019</v>
      </c>
    </row>
    <row r="1223" spans="1:25">
      <c r="A1223" t="s">
        <v>1403</v>
      </c>
      <c r="B1223" s="113">
        <v>45533</v>
      </c>
      <c r="C1223" t="s">
        <v>162</v>
      </c>
      <c r="D1223" t="s">
        <v>195</v>
      </c>
      <c r="E1223">
        <v>48</v>
      </c>
      <c r="F1223">
        <v>537</v>
      </c>
      <c r="G1223" t="s">
        <v>169</v>
      </c>
      <c r="H1223">
        <v>46580.405989999999</v>
      </c>
      <c r="I1223">
        <v>46580.405989999999</v>
      </c>
      <c r="J1223" t="s">
        <v>183</v>
      </c>
      <c r="K1223" t="s">
        <v>183</v>
      </c>
      <c r="L1223">
        <v>0.8</v>
      </c>
      <c r="M1223" t="s">
        <v>149</v>
      </c>
      <c r="N1223">
        <v>2</v>
      </c>
      <c r="O1223">
        <v>2.5</v>
      </c>
      <c r="P1223">
        <v>3</v>
      </c>
      <c r="Q1223">
        <v>800</v>
      </c>
      <c r="R1223">
        <v>0.54907366499999999</v>
      </c>
      <c r="S1223" t="s">
        <v>150</v>
      </c>
      <c r="T1223">
        <v>2</v>
      </c>
      <c r="U1223">
        <v>0</v>
      </c>
      <c r="V1223">
        <v>2</v>
      </c>
      <c r="W1223">
        <v>0</v>
      </c>
      <c r="X1223" t="s">
        <v>149</v>
      </c>
      <c r="Y1223" t="s">
        <v>1019</v>
      </c>
    </row>
    <row r="1224" spans="1:25">
      <c r="A1224" t="s">
        <v>1404</v>
      </c>
      <c r="B1224" s="113">
        <v>45535</v>
      </c>
      <c r="C1224" t="s">
        <v>162</v>
      </c>
      <c r="D1224" t="s">
        <v>190</v>
      </c>
      <c r="E1224">
        <v>36</v>
      </c>
      <c r="F1224">
        <v>624</v>
      </c>
      <c r="G1224" t="s">
        <v>147</v>
      </c>
      <c r="H1224">
        <v>48607.072500000002</v>
      </c>
      <c r="I1224">
        <v>48607.072500000002</v>
      </c>
      <c r="J1224" t="s">
        <v>148</v>
      </c>
      <c r="K1224" t="s">
        <v>148</v>
      </c>
      <c r="L1224">
        <v>0.7</v>
      </c>
      <c r="M1224" t="s">
        <v>149</v>
      </c>
      <c r="N1224">
        <v>4</v>
      </c>
      <c r="O1224">
        <v>0.5</v>
      </c>
      <c r="P1224">
        <v>3</v>
      </c>
      <c r="Q1224">
        <v>1250</v>
      </c>
      <c r="R1224">
        <v>0.67521451099999996</v>
      </c>
      <c r="S1224" t="s">
        <v>150</v>
      </c>
      <c r="T1224">
        <v>2</v>
      </c>
      <c r="U1224">
        <v>0</v>
      </c>
      <c r="V1224">
        <v>2</v>
      </c>
      <c r="W1224">
        <v>0</v>
      </c>
      <c r="X1224" t="s">
        <v>149</v>
      </c>
      <c r="Y1224" t="s">
        <v>1019</v>
      </c>
    </row>
    <row r="1225" spans="1:25">
      <c r="A1225" t="s">
        <v>1405</v>
      </c>
      <c r="B1225" s="113">
        <v>45536</v>
      </c>
      <c r="C1225" t="s">
        <v>162</v>
      </c>
      <c r="D1225" t="s">
        <v>179</v>
      </c>
      <c r="E1225">
        <v>40</v>
      </c>
      <c r="F1225">
        <v>587</v>
      </c>
      <c r="G1225" t="s">
        <v>176</v>
      </c>
      <c r="H1225">
        <v>6686.8826419999996</v>
      </c>
      <c r="I1225">
        <v>6686.8826419999996</v>
      </c>
      <c r="J1225" t="s">
        <v>181</v>
      </c>
      <c r="K1225" t="s">
        <v>181</v>
      </c>
      <c r="L1225">
        <v>4.5</v>
      </c>
      <c r="M1225" t="s">
        <v>149</v>
      </c>
      <c r="N1225">
        <v>0</v>
      </c>
      <c r="O1225">
        <v>5.9</v>
      </c>
      <c r="P1225">
        <v>3</v>
      </c>
      <c r="Q1225">
        <v>900</v>
      </c>
      <c r="R1225">
        <v>0.78410670900000001</v>
      </c>
      <c r="S1225" t="s">
        <v>198</v>
      </c>
      <c r="Y1225" t="s">
        <v>199</v>
      </c>
    </row>
    <row r="1226" spans="1:25">
      <c r="A1226" t="s">
        <v>1406</v>
      </c>
      <c r="B1226" s="113">
        <v>45536</v>
      </c>
      <c r="C1226" t="s">
        <v>162</v>
      </c>
      <c r="D1226" t="s">
        <v>179</v>
      </c>
      <c r="E1226">
        <v>36</v>
      </c>
      <c r="F1226">
        <v>584</v>
      </c>
      <c r="G1226" t="s">
        <v>169</v>
      </c>
      <c r="H1226">
        <v>41681.702810000003</v>
      </c>
      <c r="I1226">
        <v>41681.702810000003</v>
      </c>
      <c r="J1226" t="s">
        <v>148</v>
      </c>
      <c r="K1226" t="s">
        <v>148</v>
      </c>
      <c r="L1226">
        <v>0.6</v>
      </c>
      <c r="M1226" t="s">
        <v>149</v>
      </c>
      <c r="N1226">
        <v>3</v>
      </c>
      <c r="O1226">
        <v>3.9</v>
      </c>
      <c r="P1226">
        <v>3</v>
      </c>
      <c r="Q1226">
        <v>1200</v>
      </c>
      <c r="R1226">
        <v>0.87296856300000003</v>
      </c>
      <c r="S1226" t="s">
        <v>150</v>
      </c>
      <c r="T1226">
        <v>2</v>
      </c>
      <c r="U1226">
        <v>0</v>
      </c>
      <c r="V1226">
        <v>2</v>
      </c>
      <c r="W1226">
        <v>0</v>
      </c>
      <c r="X1226" t="s">
        <v>149</v>
      </c>
      <c r="Y1226" t="s">
        <v>1019</v>
      </c>
    </row>
    <row r="1227" spans="1:25">
      <c r="A1227" t="s">
        <v>1407</v>
      </c>
      <c r="B1227" s="113">
        <v>45538</v>
      </c>
      <c r="C1227" t="s">
        <v>162</v>
      </c>
      <c r="D1227" t="s">
        <v>190</v>
      </c>
      <c r="E1227">
        <v>52</v>
      </c>
      <c r="F1227">
        <v>746</v>
      </c>
      <c r="G1227" t="s">
        <v>176</v>
      </c>
      <c r="H1227">
        <v>88114.43075</v>
      </c>
      <c r="I1227">
        <v>88114.43075</v>
      </c>
      <c r="J1227" t="s">
        <v>170</v>
      </c>
      <c r="K1227" t="s">
        <v>170</v>
      </c>
      <c r="L1227">
        <v>1.5</v>
      </c>
      <c r="M1227" t="s">
        <v>149</v>
      </c>
      <c r="N1227">
        <v>3</v>
      </c>
      <c r="O1227">
        <v>2.2000000000000002</v>
      </c>
      <c r="P1227">
        <v>3</v>
      </c>
      <c r="Q1227">
        <v>1100</v>
      </c>
      <c r="R1227">
        <v>0.93953005599999995</v>
      </c>
      <c r="S1227" t="s">
        <v>150</v>
      </c>
      <c r="T1227">
        <v>1</v>
      </c>
      <c r="U1227">
        <v>0</v>
      </c>
      <c r="V1227">
        <v>1</v>
      </c>
      <c r="W1227">
        <v>0</v>
      </c>
      <c r="X1227" t="s">
        <v>149</v>
      </c>
      <c r="Y1227" t="s">
        <v>1019</v>
      </c>
    </row>
    <row r="1228" spans="1:25">
      <c r="A1228" t="s">
        <v>1408</v>
      </c>
      <c r="B1228" s="113">
        <v>45538</v>
      </c>
      <c r="C1228" t="s">
        <v>162</v>
      </c>
      <c r="D1228" t="s">
        <v>163</v>
      </c>
      <c r="E1228">
        <v>25</v>
      </c>
      <c r="F1228">
        <v>718</v>
      </c>
      <c r="G1228" t="s">
        <v>147</v>
      </c>
      <c r="H1228">
        <v>36324.59779</v>
      </c>
      <c r="I1228">
        <v>36324.59779</v>
      </c>
      <c r="J1228" t="s">
        <v>148</v>
      </c>
      <c r="K1228" t="s">
        <v>148</v>
      </c>
      <c r="L1228">
        <v>0.3</v>
      </c>
      <c r="M1228" t="s">
        <v>149</v>
      </c>
      <c r="N1228">
        <v>2</v>
      </c>
      <c r="O1228">
        <v>4.9000000000000004</v>
      </c>
      <c r="P1228">
        <v>2</v>
      </c>
      <c r="Q1228">
        <v>1000</v>
      </c>
      <c r="R1228">
        <v>0.98209084599999996</v>
      </c>
      <c r="S1228" t="s">
        <v>150</v>
      </c>
      <c r="T1228">
        <v>1</v>
      </c>
      <c r="U1228">
        <v>0</v>
      </c>
      <c r="V1228">
        <v>1</v>
      </c>
      <c r="W1228">
        <v>0</v>
      </c>
      <c r="X1228" t="s">
        <v>149</v>
      </c>
      <c r="Y1228" t="s">
        <v>1019</v>
      </c>
    </row>
    <row r="1229" spans="1:25">
      <c r="A1229" t="s">
        <v>1409</v>
      </c>
      <c r="B1229" s="113">
        <v>45543</v>
      </c>
      <c r="C1229" t="s">
        <v>145</v>
      </c>
      <c r="D1229" t="s">
        <v>154</v>
      </c>
      <c r="E1229">
        <v>44</v>
      </c>
      <c r="F1229">
        <v>776</v>
      </c>
      <c r="G1229" t="s">
        <v>155</v>
      </c>
      <c r="H1229">
        <v>73989.994569999995</v>
      </c>
      <c r="I1229">
        <v>73989.994569999995</v>
      </c>
      <c r="J1229" t="s">
        <v>148</v>
      </c>
      <c r="K1229" t="s">
        <v>148</v>
      </c>
      <c r="L1229">
        <v>7.1</v>
      </c>
      <c r="M1229" t="s">
        <v>149</v>
      </c>
      <c r="N1229">
        <v>3</v>
      </c>
      <c r="O1229">
        <v>3.1</v>
      </c>
      <c r="P1229">
        <v>2</v>
      </c>
      <c r="Q1229">
        <v>2200</v>
      </c>
      <c r="R1229">
        <v>0.99956370100000003</v>
      </c>
      <c r="S1229" t="s">
        <v>150</v>
      </c>
      <c r="T1229">
        <v>1</v>
      </c>
      <c r="U1229">
        <v>0</v>
      </c>
      <c r="V1229">
        <v>1</v>
      </c>
      <c r="W1229">
        <v>0</v>
      </c>
      <c r="X1229" t="s">
        <v>149</v>
      </c>
      <c r="Y1229" t="s">
        <v>1019</v>
      </c>
    </row>
    <row r="1230" spans="1:25">
      <c r="A1230" t="s">
        <v>1410</v>
      </c>
      <c r="B1230" s="113">
        <v>45544</v>
      </c>
      <c r="C1230" t="s">
        <v>162</v>
      </c>
      <c r="D1230" t="s">
        <v>193</v>
      </c>
      <c r="E1230">
        <v>25</v>
      </c>
      <c r="F1230">
        <v>771</v>
      </c>
      <c r="G1230" t="s">
        <v>176</v>
      </c>
      <c r="H1230">
        <v>77591.130090000006</v>
      </c>
      <c r="I1230">
        <v>77591.130090000006</v>
      </c>
      <c r="J1230" t="s">
        <v>183</v>
      </c>
      <c r="K1230" t="s">
        <v>183</v>
      </c>
      <c r="L1230">
        <v>3.9</v>
      </c>
      <c r="M1230" t="s">
        <v>149</v>
      </c>
      <c r="N1230">
        <v>2</v>
      </c>
      <c r="O1230">
        <v>2.7</v>
      </c>
      <c r="P1230">
        <v>2</v>
      </c>
      <c r="Q1230">
        <v>950</v>
      </c>
      <c r="R1230">
        <v>0.99150226799999996</v>
      </c>
      <c r="S1230" t="s">
        <v>150</v>
      </c>
      <c r="T1230">
        <v>1</v>
      </c>
      <c r="U1230">
        <v>0</v>
      </c>
      <c r="V1230">
        <v>1</v>
      </c>
      <c r="W1230">
        <v>0</v>
      </c>
      <c r="X1230" t="s">
        <v>149</v>
      </c>
      <c r="Y1230" t="s">
        <v>1019</v>
      </c>
    </row>
    <row r="1231" spans="1:25">
      <c r="A1231" t="s">
        <v>1411</v>
      </c>
      <c r="B1231" s="113">
        <v>45545</v>
      </c>
      <c r="C1231" t="s">
        <v>145</v>
      </c>
      <c r="D1231" t="s">
        <v>154</v>
      </c>
      <c r="E1231">
        <v>28</v>
      </c>
      <c r="F1231">
        <v>520</v>
      </c>
      <c r="G1231" t="s">
        <v>176</v>
      </c>
      <c r="H1231">
        <v>54703.393649999998</v>
      </c>
      <c r="I1231">
        <v>54703.393649999998</v>
      </c>
      <c r="J1231" t="s">
        <v>148</v>
      </c>
      <c r="K1231" t="s">
        <v>148</v>
      </c>
      <c r="L1231">
        <v>0.6</v>
      </c>
      <c r="M1231" t="s">
        <v>149</v>
      </c>
      <c r="N1231">
        <v>1</v>
      </c>
      <c r="O1231">
        <v>2.2000000000000002</v>
      </c>
      <c r="P1231">
        <v>3</v>
      </c>
      <c r="Q1231">
        <v>800</v>
      </c>
      <c r="R1231">
        <v>0.95811247899999996</v>
      </c>
      <c r="S1231" t="s">
        <v>150</v>
      </c>
      <c r="T1231">
        <v>1</v>
      </c>
      <c r="U1231">
        <v>0</v>
      </c>
      <c r="V1231">
        <v>1</v>
      </c>
      <c r="W1231">
        <v>0</v>
      </c>
      <c r="X1231" t="s">
        <v>149</v>
      </c>
      <c r="Y1231" t="s">
        <v>1019</v>
      </c>
    </row>
    <row r="1232" spans="1:25">
      <c r="A1232" t="s">
        <v>1412</v>
      </c>
      <c r="B1232" s="113">
        <v>45545</v>
      </c>
      <c r="C1232" t="s">
        <v>162</v>
      </c>
      <c r="D1232" t="s">
        <v>187</v>
      </c>
      <c r="E1232">
        <v>46</v>
      </c>
      <c r="F1232">
        <v>690</v>
      </c>
      <c r="G1232" t="s">
        <v>147</v>
      </c>
      <c r="H1232">
        <v>42858.858990000001</v>
      </c>
      <c r="J1232" t="s">
        <v>221</v>
      </c>
      <c r="K1232" t="s">
        <v>221</v>
      </c>
      <c r="L1232">
        <v>0.5</v>
      </c>
      <c r="M1232" t="s">
        <v>149</v>
      </c>
      <c r="N1232">
        <v>1</v>
      </c>
      <c r="O1232">
        <v>5.0999999999999996</v>
      </c>
      <c r="P1232">
        <v>2</v>
      </c>
      <c r="Q1232">
        <v>1550</v>
      </c>
      <c r="R1232">
        <v>0.90024729299999995</v>
      </c>
      <c r="S1232" t="s">
        <v>150</v>
      </c>
      <c r="T1232">
        <v>1</v>
      </c>
      <c r="U1232">
        <v>0</v>
      </c>
      <c r="V1232">
        <v>1</v>
      </c>
      <c r="W1232">
        <v>0</v>
      </c>
      <c r="X1232" t="s">
        <v>149</v>
      </c>
      <c r="Y1232" t="s">
        <v>1019</v>
      </c>
    </row>
    <row r="1233" spans="1:25">
      <c r="A1233" t="s">
        <v>1413</v>
      </c>
      <c r="B1233" s="113">
        <v>45545</v>
      </c>
      <c r="C1233" t="s">
        <v>145</v>
      </c>
      <c r="D1233" t="s">
        <v>280</v>
      </c>
      <c r="E1233">
        <v>38</v>
      </c>
      <c r="F1233">
        <v>640</v>
      </c>
      <c r="G1233" t="s">
        <v>155</v>
      </c>
      <c r="H1233">
        <v>55541.46056</v>
      </c>
      <c r="J1233" t="s">
        <v>148</v>
      </c>
      <c r="K1233" t="s">
        <v>148</v>
      </c>
      <c r="L1233">
        <v>6.1</v>
      </c>
      <c r="M1233" t="s">
        <v>149</v>
      </c>
      <c r="N1233">
        <v>4</v>
      </c>
      <c r="O1233">
        <v>2.1</v>
      </c>
      <c r="P1233">
        <v>3</v>
      </c>
      <c r="Q1233">
        <v>1050</v>
      </c>
      <c r="R1233">
        <v>0.819384899</v>
      </c>
      <c r="S1233" t="s">
        <v>150</v>
      </c>
      <c r="T1233">
        <v>1</v>
      </c>
      <c r="U1233">
        <v>0</v>
      </c>
      <c r="V1233">
        <v>1</v>
      </c>
      <c r="W1233">
        <v>0</v>
      </c>
      <c r="X1233" t="s">
        <v>149</v>
      </c>
      <c r="Y1233" t="s">
        <v>1019</v>
      </c>
    </row>
    <row r="1234" spans="1:25">
      <c r="A1234" t="s">
        <v>1414</v>
      </c>
      <c r="B1234" s="113">
        <v>45546</v>
      </c>
      <c r="C1234" t="s">
        <v>145</v>
      </c>
      <c r="D1234" t="s">
        <v>172</v>
      </c>
      <c r="E1234">
        <v>50</v>
      </c>
      <c r="F1234">
        <v>602</v>
      </c>
      <c r="G1234" t="s">
        <v>176</v>
      </c>
      <c r="H1234">
        <v>44666.131309999997</v>
      </c>
      <c r="I1234">
        <v>44666.131309999997</v>
      </c>
      <c r="J1234" t="s">
        <v>148</v>
      </c>
      <c r="K1234" t="s">
        <v>148</v>
      </c>
      <c r="L1234">
        <v>1.8</v>
      </c>
      <c r="M1234" t="s">
        <v>149</v>
      </c>
      <c r="N1234">
        <v>2</v>
      </c>
      <c r="O1234">
        <v>3.1</v>
      </c>
      <c r="P1234">
        <v>3</v>
      </c>
      <c r="Q1234">
        <v>1400</v>
      </c>
      <c r="R1234">
        <v>0.71759096300000003</v>
      </c>
      <c r="S1234" t="s">
        <v>198</v>
      </c>
      <c r="Y1234" t="s">
        <v>199</v>
      </c>
    </row>
    <row r="1235" spans="1:25">
      <c r="A1235" t="s">
        <v>1415</v>
      </c>
      <c r="B1235" s="113">
        <v>45547</v>
      </c>
      <c r="C1235" t="s">
        <v>162</v>
      </c>
      <c r="D1235" t="s">
        <v>163</v>
      </c>
      <c r="E1235">
        <v>40</v>
      </c>
      <c r="F1235">
        <v>604</v>
      </c>
      <c r="G1235" t="s">
        <v>155</v>
      </c>
      <c r="H1235">
        <v>78376.530719999995</v>
      </c>
      <c r="I1235">
        <v>78376.530719999995</v>
      </c>
      <c r="J1235" t="s">
        <v>156</v>
      </c>
      <c r="K1235" t="s">
        <v>156</v>
      </c>
      <c r="L1235">
        <v>2.7</v>
      </c>
      <c r="M1235" t="s">
        <v>151</v>
      </c>
      <c r="N1235">
        <v>1</v>
      </c>
      <c r="O1235">
        <v>1.3</v>
      </c>
      <c r="P1235">
        <v>2</v>
      </c>
      <c r="Q1235">
        <v>1200</v>
      </c>
      <c r="R1235">
        <v>0.59746585500000005</v>
      </c>
      <c r="S1235" t="s">
        <v>198</v>
      </c>
      <c r="Y1235" t="s">
        <v>199</v>
      </c>
    </row>
    <row r="1236" spans="1:25">
      <c r="A1236" t="s">
        <v>1416</v>
      </c>
      <c r="B1236" s="113">
        <v>45550</v>
      </c>
      <c r="C1236" t="s">
        <v>145</v>
      </c>
      <c r="D1236" t="s">
        <v>172</v>
      </c>
      <c r="E1236">
        <v>56</v>
      </c>
      <c r="F1236">
        <v>692</v>
      </c>
      <c r="G1236" t="s">
        <v>147</v>
      </c>
      <c r="H1236">
        <v>42529.080159999998</v>
      </c>
      <c r="I1236">
        <v>42529.080159999998</v>
      </c>
      <c r="J1236" t="s">
        <v>148</v>
      </c>
      <c r="K1236" t="s">
        <v>148</v>
      </c>
      <c r="L1236">
        <v>0.9</v>
      </c>
      <c r="M1236" t="s">
        <v>149</v>
      </c>
      <c r="N1236">
        <v>0</v>
      </c>
      <c r="O1236">
        <v>4.9000000000000004</v>
      </c>
      <c r="P1236">
        <v>3</v>
      </c>
      <c r="Q1236">
        <v>950</v>
      </c>
      <c r="R1236">
        <v>0.46207822300000001</v>
      </c>
      <c r="S1236" t="s">
        <v>150</v>
      </c>
      <c r="T1236">
        <v>1</v>
      </c>
      <c r="U1236">
        <v>0</v>
      </c>
      <c r="V1236">
        <v>1</v>
      </c>
      <c r="W1236">
        <v>0</v>
      </c>
      <c r="X1236" t="s">
        <v>149</v>
      </c>
      <c r="Y1236" t="s">
        <v>1019</v>
      </c>
    </row>
    <row r="1237" spans="1:25">
      <c r="A1237" t="s">
        <v>1417</v>
      </c>
      <c r="B1237" s="113">
        <v>45552</v>
      </c>
      <c r="C1237" t="s">
        <v>159</v>
      </c>
      <c r="D1237" t="s">
        <v>197</v>
      </c>
      <c r="E1237">
        <v>24</v>
      </c>
      <c r="F1237">
        <v>649</v>
      </c>
      <c r="G1237" t="s">
        <v>155</v>
      </c>
      <c r="H1237">
        <v>31554.01226</v>
      </c>
      <c r="I1237">
        <v>31554.01226</v>
      </c>
      <c r="J1237" t="s">
        <v>183</v>
      </c>
      <c r="K1237" t="s">
        <v>183</v>
      </c>
      <c r="L1237">
        <v>1</v>
      </c>
      <c r="M1237" t="s">
        <v>149</v>
      </c>
      <c r="N1237">
        <v>1</v>
      </c>
      <c r="O1237">
        <v>2.2999999999999998</v>
      </c>
      <c r="P1237">
        <v>1</v>
      </c>
      <c r="Q1237">
        <v>800</v>
      </c>
      <c r="R1237">
        <v>0.31488660200000002</v>
      </c>
      <c r="S1237" t="s">
        <v>150</v>
      </c>
      <c r="T1237">
        <v>1</v>
      </c>
      <c r="U1237">
        <v>0</v>
      </c>
      <c r="V1237">
        <v>1</v>
      </c>
      <c r="W1237">
        <v>0</v>
      </c>
      <c r="X1237" t="s">
        <v>149</v>
      </c>
      <c r="Y1237" t="s">
        <v>1019</v>
      </c>
    </row>
    <row r="1238" spans="1:25">
      <c r="A1238" t="s">
        <v>1418</v>
      </c>
      <c r="B1238" s="113">
        <v>45553</v>
      </c>
      <c r="C1238" t="s">
        <v>159</v>
      </c>
      <c r="D1238" t="s">
        <v>160</v>
      </c>
      <c r="E1238">
        <v>42</v>
      </c>
      <c r="F1238">
        <v>635</v>
      </c>
      <c r="G1238" t="s">
        <v>147</v>
      </c>
      <c r="H1238">
        <v>41189.460299999999</v>
      </c>
      <c r="J1238" t="s">
        <v>156</v>
      </c>
      <c r="K1238" t="s">
        <v>156</v>
      </c>
      <c r="L1238">
        <v>4.9000000000000004</v>
      </c>
      <c r="M1238" t="s">
        <v>149</v>
      </c>
      <c r="N1238">
        <v>2</v>
      </c>
      <c r="O1238">
        <v>5.3</v>
      </c>
      <c r="P1238">
        <v>3</v>
      </c>
      <c r="Q1238">
        <v>1300</v>
      </c>
      <c r="R1238">
        <v>0.15965106700000001</v>
      </c>
      <c r="S1238" t="s">
        <v>150</v>
      </c>
      <c r="T1238">
        <v>1</v>
      </c>
      <c r="U1238">
        <v>0</v>
      </c>
      <c r="V1238">
        <v>1</v>
      </c>
      <c r="W1238">
        <v>0</v>
      </c>
      <c r="X1238" t="s">
        <v>149</v>
      </c>
      <c r="Y1238" t="s">
        <v>1019</v>
      </c>
    </row>
    <row r="1239" spans="1:25">
      <c r="A1239" t="s">
        <v>1419</v>
      </c>
      <c r="B1239" s="113">
        <v>45559</v>
      </c>
      <c r="C1239" t="s">
        <v>159</v>
      </c>
      <c r="D1239" t="s">
        <v>160</v>
      </c>
      <c r="E1239">
        <v>63</v>
      </c>
      <c r="F1239">
        <v>727</v>
      </c>
      <c r="G1239" t="s">
        <v>155</v>
      </c>
      <c r="H1239">
        <v>91838.286689999994</v>
      </c>
      <c r="I1239">
        <v>91838.286689999994</v>
      </c>
      <c r="J1239" t="s">
        <v>249</v>
      </c>
      <c r="K1239" t="s">
        <v>166</v>
      </c>
      <c r="L1239">
        <v>8.8000000000000007</v>
      </c>
      <c r="M1239" t="s">
        <v>151</v>
      </c>
      <c r="N1239">
        <v>4</v>
      </c>
      <c r="O1239">
        <v>2.1</v>
      </c>
      <c r="P1239">
        <v>4</v>
      </c>
      <c r="Q1239">
        <v>1200</v>
      </c>
      <c r="R1239">
        <v>3.3717600000000001E-4</v>
      </c>
      <c r="S1239" t="s">
        <v>150</v>
      </c>
      <c r="T1239">
        <v>1</v>
      </c>
      <c r="U1239">
        <v>0</v>
      </c>
      <c r="V1239">
        <v>1</v>
      </c>
      <c r="W1239">
        <v>0</v>
      </c>
      <c r="X1239" t="s">
        <v>149</v>
      </c>
      <c r="Y1239" t="s">
        <v>1019</v>
      </c>
    </row>
    <row r="1240" spans="1:25">
      <c r="A1240" t="s">
        <v>1420</v>
      </c>
      <c r="B1240" s="113">
        <v>45560</v>
      </c>
      <c r="C1240" t="s">
        <v>159</v>
      </c>
      <c r="D1240" t="s">
        <v>197</v>
      </c>
      <c r="E1240">
        <v>22</v>
      </c>
      <c r="F1240">
        <v>724</v>
      </c>
      <c r="G1240" t="s">
        <v>176</v>
      </c>
      <c r="H1240">
        <v>31464.946189999999</v>
      </c>
      <c r="I1240">
        <v>31464.946189999999</v>
      </c>
      <c r="J1240" t="s">
        <v>148</v>
      </c>
      <c r="K1240" t="s">
        <v>148</v>
      </c>
      <c r="L1240">
        <v>0.1</v>
      </c>
      <c r="M1240" t="s">
        <v>149</v>
      </c>
      <c r="N1240">
        <v>4</v>
      </c>
      <c r="O1240">
        <v>12.1</v>
      </c>
      <c r="P1240">
        <v>2</v>
      </c>
      <c r="Q1240">
        <v>1150</v>
      </c>
      <c r="R1240">
        <v>0.15898532800000001</v>
      </c>
      <c r="S1240" t="s">
        <v>150</v>
      </c>
      <c r="T1240">
        <v>1</v>
      </c>
      <c r="U1240">
        <v>0</v>
      </c>
      <c r="V1240">
        <v>1</v>
      </c>
      <c r="W1240">
        <v>0</v>
      </c>
      <c r="X1240" t="s">
        <v>149</v>
      </c>
      <c r="Y1240" t="s">
        <v>1019</v>
      </c>
    </row>
    <row r="1241" spans="1:25">
      <c r="A1241" t="s">
        <v>1421</v>
      </c>
      <c r="B1241" s="113">
        <v>45564</v>
      </c>
      <c r="C1241" t="s">
        <v>159</v>
      </c>
      <c r="D1241" t="s">
        <v>168</v>
      </c>
      <c r="E1241">
        <v>31</v>
      </c>
      <c r="F1241">
        <v>696</v>
      </c>
      <c r="G1241" t="s">
        <v>169</v>
      </c>
      <c r="H1241">
        <v>110157.39690000001</v>
      </c>
      <c r="J1241" t="s">
        <v>148</v>
      </c>
      <c r="K1241" t="s">
        <v>148</v>
      </c>
      <c r="L1241">
        <v>1.7</v>
      </c>
      <c r="M1241" t="s">
        <v>149</v>
      </c>
      <c r="N1241">
        <v>3</v>
      </c>
      <c r="O1241">
        <v>11.4</v>
      </c>
      <c r="P1241">
        <v>2</v>
      </c>
      <c r="Q1241">
        <v>800</v>
      </c>
      <c r="R1241">
        <v>0.31424648300000002</v>
      </c>
      <c r="S1241" t="s">
        <v>150</v>
      </c>
      <c r="T1241">
        <v>1</v>
      </c>
      <c r="U1241">
        <v>0</v>
      </c>
      <c r="V1241">
        <v>1</v>
      </c>
      <c r="W1241">
        <v>0</v>
      </c>
      <c r="X1241" t="s">
        <v>149</v>
      </c>
      <c r="Y1241" t="s">
        <v>1019</v>
      </c>
    </row>
    <row r="1242" spans="1:25">
      <c r="A1242" t="s">
        <v>1422</v>
      </c>
      <c r="B1242" s="113">
        <v>45568</v>
      </c>
      <c r="C1242" t="s">
        <v>162</v>
      </c>
      <c r="D1242" t="s">
        <v>190</v>
      </c>
      <c r="E1242">
        <v>51</v>
      </c>
      <c r="F1242">
        <v>723</v>
      </c>
      <c r="G1242" t="s">
        <v>155</v>
      </c>
      <c r="H1242">
        <v>78269.077099999995</v>
      </c>
      <c r="J1242" t="s">
        <v>148</v>
      </c>
      <c r="K1242" t="s">
        <v>148</v>
      </c>
      <c r="L1242">
        <v>2.7</v>
      </c>
      <c r="M1242" t="s">
        <v>151</v>
      </c>
      <c r="N1242">
        <v>5</v>
      </c>
      <c r="O1242">
        <v>3.6</v>
      </c>
      <c r="P1242">
        <v>2</v>
      </c>
      <c r="Q1242">
        <v>1200</v>
      </c>
      <c r="R1242">
        <v>0.46148007600000002</v>
      </c>
      <c r="S1242" t="s">
        <v>198</v>
      </c>
      <c r="Y1242" t="s">
        <v>199</v>
      </c>
    </row>
    <row r="1243" spans="1:25">
      <c r="A1243" t="s">
        <v>1423</v>
      </c>
      <c r="B1243" s="113">
        <v>45571</v>
      </c>
      <c r="C1243" t="s">
        <v>159</v>
      </c>
      <c r="D1243" t="s">
        <v>197</v>
      </c>
      <c r="E1243">
        <v>41</v>
      </c>
      <c r="F1243">
        <v>638</v>
      </c>
      <c r="G1243" t="s">
        <v>155</v>
      </c>
      <c r="H1243">
        <v>40797.362800000003</v>
      </c>
      <c r="I1243">
        <v>40797.362800000003</v>
      </c>
      <c r="J1243" t="s">
        <v>148</v>
      </c>
      <c r="K1243" t="s">
        <v>148</v>
      </c>
      <c r="L1243">
        <v>0.1</v>
      </c>
      <c r="M1243" t="s">
        <v>151</v>
      </c>
      <c r="N1243">
        <v>2</v>
      </c>
      <c r="O1243">
        <v>9.5</v>
      </c>
      <c r="P1243">
        <v>3</v>
      </c>
      <c r="Q1243">
        <v>1150</v>
      </c>
      <c r="R1243">
        <v>0.59692495999999995</v>
      </c>
      <c r="S1243" t="s">
        <v>198</v>
      </c>
      <c r="Y1243" t="s">
        <v>199</v>
      </c>
    </row>
    <row r="1244" spans="1:25">
      <c r="A1244" t="s">
        <v>1424</v>
      </c>
      <c r="B1244" s="113">
        <v>45573</v>
      </c>
      <c r="C1244" t="s">
        <v>159</v>
      </c>
      <c r="D1244" t="s">
        <v>197</v>
      </c>
      <c r="E1244">
        <v>38</v>
      </c>
      <c r="F1244">
        <v>705</v>
      </c>
      <c r="G1244" t="s">
        <v>169</v>
      </c>
      <c r="H1244">
        <v>64272.88265</v>
      </c>
      <c r="J1244" t="s">
        <v>156</v>
      </c>
      <c r="K1244" t="s">
        <v>156</v>
      </c>
      <c r="L1244">
        <v>3.6</v>
      </c>
      <c r="M1244" t="s">
        <v>149</v>
      </c>
      <c r="N1244">
        <v>3</v>
      </c>
      <c r="O1244">
        <v>4.8</v>
      </c>
      <c r="P1244">
        <v>3</v>
      </c>
      <c r="Q1244">
        <v>1100</v>
      </c>
      <c r="R1244">
        <v>0.71712113700000002</v>
      </c>
      <c r="S1244" t="s">
        <v>150</v>
      </c>
      <c r="T1244">
        <v>0</v>
      </c>
      <c r="U1244">
        <v>0</v>
      </c>
      <c r="V1244">
        <v>0</v>
      </c>
      <c r="W1244">
        <v>0</v>
      </c>
      <c r="X1244" t="s">
        <v>149</v>
      </c>
      <c r="Y1244" t="s">
        <v>1019</v>
      </c>
    </row>
    <row r="1245" spans="1:25">
      <c r="A1245" t="s">
        <v>1425</v>
      </c>
      <c r="B1245" s="113">
        <v>45577</v>
      </c>
      <c r="C1245" t="s">
        <v>159</v>
      </c>
      <c r="D1245" t="s">
        <v>168</v>
      </c>
      <c r="E1245">
        <v>33</v>
      </c>
      <c r="F1245">
        <v>662</v>
      </c>
      <c r="G1245" t="s">
        <v>147</v>
      </c>
      <c r="H1245">
        <v>39626.193099999997</v>
      </c>
      <c r="I1245">
        <v>39626.193099999997</v>
      </c>
      <c r="J1245" t="s">
        <v>148</v>
      </c>
      <c r="K1245" t="s">
        <v>148</v>
      </c>
      <c r="L1245">
        <v>0.5</v>
      </c>
      <c r="M1245" t="s">
        <v>149</v>
      </c>
      <c r="N1245">
        <v>3</v>
      </c>
      <c r="O1245">
        <v>5.2</v>
      </c>
      <c r="P1245">
        <v>3</v>
      </c>
      <c r="Q1245">
        <v>1550</v>
      </c>
      <c r="R1245">
        <v>0.81899814400000004</v>
      </c>
      <c r="S1245" t="s">
        <v>150</v>
      </c>
      <c r="T1245">
        <v>0</v>
      </c>
      <c r="U1245">
        <v>0</v>
      </c>
      <c r="V1245">
        <v>0</v>
      </c>
      <c r="W1245">
        <v>0</v>
      </c>
      <c r="X1245" t="s">
        <v>149</v>
      </c>
      <c r="Y1245" t="s">
        <v>1019</v>
      </c>
    </row>
    <row r="1246" spans="1:25">
      <c r="A1246" t="s">
        <v>1426</v>
      </c>
      <c r="B1246" s="113">
        <v>45582</v>
      </c>
      <c r="C1246" t="s">
        <v>162</v>
      </c>
      <c r="D1246" t="s">
        <v>187</v>
      </c>
      <c r="E1246">
        <v>42</v>
      </c>
      <c r="F1246">
        <v>647</v>
      </c>
      <c r="G1246" t="s">
        <v>176</v>
      </c>
      <c r="H1246">
        <v>15300.93244</v>
      </c>
      <c r="I1246">
        <v>15300.93244</v>
      </c>
      <c r="J1246" t="s">
        <v>170</v>
      </c>
      <c r="K1246" t="s">
        <v>170</v>
      </c>
      <c r="L1246">
        <v>0.8</v>
      </c>
      <c r="M1246" t="s">
        <v>149</v>
      </c>
      <c r="N1246">
        <v>2</v>
      </c>
      <c r="O1246">
        <v>1.3</v>
      </c>
      <c r="P1246">
        <v>2</v>
      </c>
      <c r="Q1246">
        <v>1400</v>
      </c>
      <c r="R1246">
        <v>0.89995348900000005</v>
      </c>
      <c r="S1246" t="s">
        <v>198</v>
      </c>
      <c r="Y1246" t="s">
        <v>199</v>
      </c>
    </row>
    <row r="1247" spans="1:25">
      <c r="A1247" t="s">
        <v>1427</v>
      </c>
      <c r="B1247" s="113">
        <v>45585</v>
      </c>
      <c r="C1247" t="s">
        <v>162</v>
      </c>
      <c r="D1247" t="s">
        <v>193</v>
      </c>
      <c r="E1247">
        <v>39</v>
      </c>
      <c r="F1247">
        <v>745</v>
      </c>
      <c r="G1247" t="s">
        <v>147</v>
      </c>
      <c r="H1247">
        <v>79497.452910000007</v>
      </c>
      <c r="I1247">
        <v>79497.452910000007</v>
      </c>
      <c r="J1247" t="s">
        <v>148</v>
      </c>
      <c r="K1247" t="s">
        <v>148</v>
      </c>
      <c r="L1247">
        <v>1.7</v>
      </c>
      <c r="M1247" t="s">
        <v>149</v>
      </c>
      <c r="N1247">
        <v>0</v>
      </c>
      <c r="O1247">
        <v>6.6</v>
      </c>
      <c r="P1247">
        <v>3</v>
      </c>
      <c r="Q1247">
        <v>1200</v>
      </c>
      <c r="R1247">
        <v>0.95791913200000001</v>
      </c>
      <c r="S1247" t="s">
        <v>150</v>
      </c>
      <c r="T1247">
        <v>0</v>
      </c>
      <c r="U1247">
        <v>0</v>
      </c>
      <c r="V1247">
        <v>0</v>
      </c>
      <c r="W1247">
        <v>0</v>
      </c>
      <c r="X1247" t="s">
        <v>149</v>
      </c>
      <c r="Y1247" t="s">
        <v>1019</v>
      </c>
    </row>
    <row r="1248" spans="1:25">
      <c r="A1248" t="s">
        <v>1428</v>
      </c>
      <c r="B1248" s="113">
        <v>45587</v>
      </c>
      <c r="C1248" t="s">
        <v>145</v>
      </c>
      <c r="D1248" t="s">
        <v>172</v>
      </c>
      <c r="E1248">
        <v>36</v>
      </c>
      <c r="F1248">
        <v>829</v>
      </c>
      <c r="G1248" t="s">
        <v>169</v>
      </c>
      <c r="H1248">
        <v>68416.964619999999</v>
      </c>
      <c r="J1248" t="s">
        <v>148</v>
      </c>
      <c r="K1248" t="s">
        <v>148</v>
      </c>
      <c r="L1248">
        <v>5</v>
      </c>
      <c r="M1248" t="s">
        <v>149</v>
      </c>
      <c r="N1248">
        <v>3</v>
      </c>
      <c r="O1248">
        <v>8.3000000000000007</v>
      </c>
      <c r="P1248">
        <v>2</v>
      </c>
      <c r="Q1248">
        <v>1250</v>
      </c>
      <c r="R1248">
        <v>0.99141431599999996</v>
      </c>
      <c r="S1248" t="s">
        <v>150</v>
      </c>
      <c r="T1248">
        <v>0</v>
      </c>
      <c r="U1248">
        <v>0</v>
      </c>
      <c r="V1248">
        <v>0</v>
      </c>
      <c r="W1248">
        <v>0</v>
      </c>
      <c r="X1248" t="s">
        <v>149</v>
      </c>
      <c r="Y1248" t="s">
        <v>1019</v>
      </c>
    </row>
    <row r="1249" spans="1:25">
      <c r="A1249" t="s">
        <v>1429</v>
      </c>
      <c r="B1249" s="113">
        <v>45589</v>
      </c>
      <c r="C1249" t="s">
        <v>145</v>
      </c>
      <c r="D1249" t="s">
        <v>172</v>
      </c>
      <c r="E1249">
        <v>45</v>
      </c>
      <c r="F1249">
        <v>477</v>
      </c>
      <c r="G1249" t="s">
        <v>176</v>
      </c>
      <c r="H1249">
        <v>22033.409909999998</v>
      </c>
      <c r="J1249" t="s">
        <v>148</v>
      </c>
      <c r="K1249" t="s">
        <v>148</v>
      </c>
      <c r="L1249">
        <v>4.4000000000000004</v>
      </c>
      <c r="M1249" t="s">
        <v>149</v>
      </c>
      <c r="N1249">
        <v>0</v>
      </c>
      <c r="O1249">
        <v>3.3</v>
      </c>
      <c r="P1249">
        <v>2</v>
      </c>
      <c r="Q1249">
        <v>1150</v>
      </c>
      <c r="R1249">
        <v>0.99958339200000002</v>
      </c>
      <c r="S1249" t="s">
        <v>150</v>
      </c>
      <c r="T1249">
        <v>0</v>
      </c>
      <c r="U1249">
        <v>0</v>
      </c>
      <c r="V1249">
        <v>0</v>
      </c>
      <c r="W1249">
        <v>0</v>
      </c>
      <c r="X1249" t="s">
        <v>149</v>
      </c>
      <c r="Y1249" t="s">
        <v>1019</v>
      </c>
    </row>
    <row r="1250" spans="1:25">
      <c r="A1250" t="s">
        <v>1430</v>
      </c>
      <c r="B1250" s="113">
        <v>45591</v>
      </c>
      <c r="C1250" t="s">
        <v>159</v>
      </c>
      <c r="D1250" t="s">
        <v>160</v>
      </c>
      <c r="E1250">
        <v>57</v>
      </c>
      <c r="F1250">
        <v>759</v>
      </c>
      <c r="G1250" t="s">
        <v>155</v>
      </c>
      <c r="H1250">
        <v>72285.525890000004</v>
      </c>
      <c r="I1250">
        <v>72285.525890000004</v>
      </c>
      <c r="J1250" t="s">
        <v>148</v>
      </c>
      <c r="K1250" t="s">
        <v>148</v>
      </c>
      <c r="L1250">
        <v>14.3</v>
      </c>
      <c r="M1250" t="s">
        <v>149</v>
      </c>
      <c r="N1250">
        <v>1</v>
      </c>
      <c r="O1250">
        <v>2.1</v>
      </c>
      <c r="P1250">
        <v>2</v>
      </c>
      <c r="Q1250">
        <v>1450</v>
      </c>
      <c r="R1250">
        <v>0.98221767599999998</v>
      </c>
      <c r="S1250" t="s">
        <v>150</v>
      </c>
      <c r="T1250">
        <v>0</v>
      </c>
      <c r="U1250">
        <v>0</v>
      </c>
      <c r="V1250">
        <v>0</v>
      </c>
      <c r="W1250">
        <v>0</v>
      </c>
      <c r="X1250" t="s">
        <v>149</v>
      </c>
      <c r="Y1250" t="s">
        <v>1019</v>
      </c>
    </row>
    <row r="1251" spans="1:25">
      <c r="A1251" t="s">
        <v>1431</v>
      </c>
      <c r="B1251" s="113">
        <v>45595</v>
      </c>
      <c r="C1251" t="s">
        <v>159</v>
      </c>
      <c r="D1251" t="s">
        <v>160</v>
      </c>
      <c r="E1251">
        <v>48</v>
      </c>
      <c r="F1251">
        <v>635</v>
      </c>
      <c r="G1251" t="s">
        <v>155</v>
      </c>
      <c r="H1251">
        <v>106625.367</v>
      </c>
      <c r="J1251" t="s">
        <v>183</v>
      </c>
      <c r="K1251" t="s">
        <v>183</v>
      </c>
      <c r="L1251">
        <v>2.5</v>
      </c>
      <c r="M1251" t="s">
        <v>149</v>
      </c>
      <c r="N1251">
        <v>4</v>
      </c>
      <c r="O1251">
        <v>0.7</v>
      </c>
      <c r="P1251">
        <v>4</v>
      </c>
      <c r="Q1251">
        <v>1450</v>
      </c>
      <c r="R1251">
        <v>0.93976078500000004</v>
      </c>
      <c r="S1251" t="s">
        <v>150</v>
      </c>
      <c r="T1251">
        <v>0</v>
      </c>
      <c r="U1251">
        <v>0</v>
      </c>
      <c r="V1251">
        <v>0</v>
      </c>
      <c r="W1251">
        <v>0</v>
      </c>
      <c r="X1251" t="s">
        <v>149</v>
      </c>
      <c r="Y1251" t="s">
        <v>1019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5E5E1-8D4A-4849-B4A8-5CC9E36CB044}">
  <sheetPr codeName="Sheet9"/>
  <dimension ref="A1:A117"/>
  <sheetViews>
    <sheetView workbookViewId="0"/>
  </sheetViews>
  <sheetFormatPr defaultRowHeight="14.5"/>
  <sheetData>
    <row r="1" spans="1:1">
      <c r="A1" s="114" t="s">
        <v>1432</v>
      </c>
    </row>
    <row r="2" spans="1:1">
      <c r="A2" s="108"/>
    </row>
    <row r="3" spans="1:1">
      <c r="A3" s="114" t="s">
        <v>1433</v>
      </c>
    </row>
    <row r="4" spans="1:1">
      <c r="A4" s="114" t="s">
        <v>1434</v>
      </c>
    </row>
    <row r="5" spans="1:1">
      <c r="A5" s="114" t="s">
        <v>1435</v>
      </c>
    </row>
    <row r="6" spans="1:1">
      <c r="A6" s="114" t="s">
        <v>1436</v>
      </c>
    </row>
    <row r="7" spans="1:1">
      <c r="A7" s="114" t="s">
        <v>1437</v>
      </c>
    </row>
    <row r="8" spans="1:1">
      <c r="A8" s="108"/>
    </row>
    <row r="9" spans="1:1">
      <c r="A9" s="114" t="s">
        <v>1438</v>
      </c>
    </row>
    <row r="10" spans="1:1">
      <c r="A10" s="108"/>
    </row>
    <row r="11" spans="1:1">
      <c r="A11" s="114" t="s">
        <v>1439</v>
      </c>
    </row>
    <row r="12" spans="1:1">
      <c r="A12" s="114" t="s">
        <v>1440</v>
      </c>
    </row>
    <row r="13" spans="1:1">
      <c r="A13" s="114" t="s">
        <v>1441</v>
      </c>
    </row>
    <row r="14" spans="1:1">
      <c r="A14" s="108"/>
    </row>
    <row r="15" spans="1:1">
      <c r="A15" s="114" t="s">
        <v>1442</v>
      </c>
    </row>
    <row r="16" spans="1:1">
      <c r="A16" s="114" t="s">
        <v>1443</v>
      </c>
    </row>
    <row r="17" spans="1:1">
      <c r="A17" s="114" t="s">
        <v>1444</v>
      </c>
    </row>
    <row r="18" spans="1:1">
      <c r="A18" s="108"/>
    </row>
    <row r="19" spans="1:1">
      <c r="A19" s="114" t="s">
        <v>1445</v>
      </c>
    </row>
    <row r="20" spans="1:1">
      <c r="A20" s="114" t="s">
        <v>1446</v>
      </c>
    </row>
    <row r="21" spans="1:1">
      <c r="A21" s="108"/>
    </row>
    <row r="22" spans="1:1">
      <c r="A22" s="114" t="s">
        <v>1447</v>
      </c>
    </row>
    <row r="23" spans="1:1">
      <c r="A23" s="114" t="s">
        <v>1448</v>
      </c>
    </row>
    <row r="24" spans="1:1">
      <c r="A24" s="114" t="s">
        <v>1449</v>
      </c>
    </row>
    <row r="25" spans="1:1">
      <c r="A25" s="114" t="s">
        <v>1450</v>
      </c>
    </row>
    <row r="26" spans="1:1">
      <c r="A26" s="114" t="s">
        <v>1451</v>
      </c>
    </row>
    <row r="27" spans="1:1">
      <c r="A27" s="114" t="s">
        <v>1452</v>
      </c>
    </row>
    <row r="28" spans="1:1">
      <c r="A28" s="114" t="s">
        <v>1453</v>
      </c>
    </row>
    <row r="29" spans="1:1">
      <c r="A29" s="108"/>
    </row>
    <row r="30" spans="1:1">
      <c r="A30" s="114" t="s">
        <v>1454</v>
      </c>
    </row>
    <row r="31" spans="1:1">
      <c r="A31" s="114" t="s">
        <v>1455</v>
      </c>
    </row>
    <row r="32" spans="1:1">
      <c r="A32" s="114" t="s">
        <v>1456</v>
      </c>
    </row>
    <row r="33" spans="1:1">
      <c r="A33" s="114" t="s">
        <v>1457</v>
      </c>
    </row>
    <row r="34" spans="1:1">
      <c r="A34" s="114" t="s">
        <v>1458</v>
      </c>
    </row>
    <row r="35" spans="1:1">
      <c r="A35" s="108"/>
    </row>
    <row r="36" spans="1:1">
      <c r="A36" s="114" t="s">
        <v>1459</v>
      </c>
    </row>
    <row r="37" spans="1:1">
      <c r="A37" s="114" t="s">
        <v>1460</v>
      </c>
    </row>
    <row r="38" spans="1:1">
      <c r="A38" s="114" t="s">
        <v>1461</v>
      </c>
    </row>
    <row r="39" spans="1:1">
      <c r="A39" s="114" t="s">
        <v>1462</v>
      </c>
    </row>
    <row r="40" spans="1:1">
      <c r="A40" s="108"/>
    </row>
    <row r="41" spans="1:1">
      <c r="A41" s="114" t="s">
        <v>1463</v>
      </c>
    </row>
    <row r="42" spans="1:1">
      <c r="A42" s="114" t="s">
        <v>1464</v>
      </c>
    </row>
    <row r="43" spans="1:1">
      <c r="A43" s="108"/>
    </row>
    <row r="44" spans="1:1">
      <c r="A44" s="114" t="s">
        <v>1465</v>
      </c>
    </row>
    <row r="45" spans="1:1">
      <c r="A45" s="114" t="s">
        <v>1466</v>
      </c>
    </row>
    <row r="46" spans="1:1">
      <c r="A46" s="114" t="s">
        <v>1467</v>
      </c>
    </row>
    <row r="47" spans="1:1">
      <c r="A47" s="114" t="s">
        <v>1468</v>
      </c>
    </row>
    <row r="48" spans="1:1">
      <c r="A48" s="114" t="s">
        <v>1469</v>
      </c>
    </row>
    <row r="49" spans="1:1">
      <c r="A49" s="114" t="s">
        <v>1470</v>
      </c>
    </row>
    <row r="50" spans="1:1">
      <c r="A50" s="114" t="s">
        <v>1471</v>
      </c>
    </row>
    <row r="51" spans="1:1">
      <c r="A51" s="108"/>
    </row>
    <row r="52" spans="1:1">
      <c r="A52" s="114"/>
    </row>
    <row r="53" spans="1:1">
      <c r="A53" s="108"/>
    </row>
    <row r="54" spans="1:1">
      <c r="A54" s="114"/>
    </row>
    <row r="55" spans="1:1">
      <c r="A55" s="114"/>
    </row>
    <row r="56" spans="1:1">
      <c r="A56" s="114"/>
    </row>
    <row r="57" spans="1:1">
      <c r="A57" s="114"/>
    </row>
    <row r="58" spans="1:1">
      <c r="A58" s="114"/>
    </row>
    <row r="59" spans="1:1">
      <c r="A59" s="114"/>
    </row>
    <row r="60" spans="1:1">
      <c r="A60" s="114"/>
    </row>
    <row r="61" spans="1:1">
      <c r="A61" s="114"/>
    </row>
    <row r="62" spans="1:1">
      <c r="A62" s="114"/>
    </row>
    <row r="63" spans="1:1">
      <c r="A63" s="114"/>
    </row>
    <row r="64" spans="1:1">
      <c r="A64" s="114"/>
    </row>
    <row r="65" spans="1:1">
      <c r="A65" s="114"/>
    </row>
    <row r="66" spans="1:1">
      <c r="A66" s="114"/>
    </row>
    <row r="67" spans="1:1">
      <c r="A67" s="114"/>
    </row>
    <row r="68" spans="1:1">
      <c r="A68" s="114"/>
    </row>
    <row r="69" spans="1:1">
      <c r="A69" s="114"/>
    </row>
    <row r="70" spans="1:1">
      <c r="A70" s="114"/>
    </row>
    <row r="71" spans="1:1">
      <c r="A71" s="114"/>
    </row>
    <row r="72" spans="1:1">
      <c r="A72" s="114"/>
    </row>
    <row r="73" spans="1:1">
      <c r="A73" s="114"/>
    </row>
    <row r="74" spans="1:1">
      <c r="A74" s="114"/>
    </row>
    <row r="75" spans="1:1">
      <c r="A75" s="114"/>
    </row>
    <row r="76" spans="1:1">
      <c r="A76" s="114"/>
    </row>
    <row r="77" spans="1:1">
      <c r="A77" s="114"/>
    </row>
    <row r="78" spans="1:1">
      <c r="A78" s="114"/>
    </row>
    <row r="79" spans="1:1">
      <c r="A79" s="114"/>
    </row>
    <row r="80" spans="1:1">
      <c r="A80" s="108"/>
    </row>
    <row r="81" spans="1:1">
      <c r="A81" s="114"/>
    </row>
    <row r="82" spans="1:1">
      <c r="A82" s="108"/>
    </row>
    <row r="83" spans="1:1">
      <c r="A83" s="114"/>
    </row>
    <row r="84" spans="1:1">
      <c r="A84" s="114"/>
    </row>
    <row r="85" spans="1:1">
      <c r="A85" s="114"/>
    </row>
    <row r="86" spans="1:1">
      <c r="A86" s="114"/>
    </row>
    <row r="87" spans="1:1">
      <c r="A87" s="114"/>
    </row>
    <row r="88" spans="1:1">
      <c r="A88" s="114"/>
    </row>
    <row r="89" spans="1:1">
      <c r="A89" s="108"/>
    </row>
    <row r="90" spans="1:1">
      <c r="A90" s="114"/>
    </row>
    <row r="91" spans="1:1">
      <c r="A91" s="114"/>
    </row>
    <row r="92" spans="1:1">
      <c r="A92" s="114"/>
    </row>
    <row r="93" spans="1:1">
      <c r="A93" s="108"/>
    </row>
    <row r="94" spans="1:1">
      <c r="A94" s="114"/>
    </row>
    <row r="95" spans="1:1">
      <c r="A95" s="114"/>
    </row>
    <row r="96" spans="1:1">
      <c r="A96" s="114"/>
    </row>
    <row r="97" spans="1:1">
      <c r="A97" s="114"/>
    </row>
    <row r="98" spans="1:1">
      <c r="A98" s="108"/>
    </row>
    <row r="99" spans="1:1">
      <c r="A99" s="114"/>
    </row>
    <row r="100" spans="1:1">
      <c r="A100" s="108"/>
    </row>
    <row r="101" spans="1:1">
      <c r="A101" s="114"/>
    </row>
    <row r="102" spans="1:1">
      <c r="A102" s="114"/>
    </row>
    <row r="103" spans="1:1">
      <c r="A103" s="114"/>
    </row>
    <row r="104" spans="1:1">
      <c r="A104" s="114"/>
    </row>
    <row r="105" spans="1:1">
      <c r="A105" s="114"/>
    </row>
    <row r="106" spans="1:1">
      <c r="A106" s="108"/>
    </row>
    <row r="107" spans="1:1">
      <c r="A107" s="114"/>
    </row>
    <row r="108" spans="1:1">
      <c r="A108" s="108"/>
    </row>
    <row r="109" spans="1:1">
      <c r="A109" s="114"/>
    </row>
    <row r="110" spans="1:1">
      <c r="A110" s="114"/>
    </row>
    <row r="111" spans="1:1">
      <c r="A111" s="114"/>
    </row>
    <row r="112" spans="1:1">
      <c r="A112" s="114"/>
    </row>
    <row r="113" spans="1:1">
      <c r="A113" s="114"/>
    </row>
    <row r="114" spans="1:1">
      <c r="A114" s="108"/>
    </row>
    <row r="115" spans="1:1">
      <c r="A115" s="114"/>
    </row>
    <row r="116" spans="1:1">
      <c r="A116" s="114"/>
    </row>
    <row r="117" spans="1:1">
      <c r="A117" s="1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5"/>
  <sheetViews>
    <sheetView workbookViewId="0">
      <selection activeCell="H9" sqref="H9"/>
    </sheetView>
  </sheetViews>
  <sheetFormatPr defaultColWidth="8.81640625" defaultRowHeight="14.5"/>
  <cols>
    <col min="1" max="3" width="14.453125" style="1" customWidth="1"/>
    <col min="4" max="4" width="32.1796875" style="1" customWidth="1"/>
  </cols>
  <sheetData>
    <row r="1" spans="1:5">
      <c r="A1" s="4" t="s">
        <v>5</v>
      </c>
      <c r="E1" t="s">
        <v>115</v>
      </c>
    </row>
    <row r="2" spans="1:5">
      <c r="A2" s="2" t="s">
        <v>10</v>
      </c>
      <c r="B2" s="2" t="s">
        <v>0</v>
      </c>
      <c r="C2" s="2" t="s">
        <v>4</v>
      </c>
      <c r="D2" s="2" t="s">
        <v>11</v>
      </c>
      <c r="E2" t="s">
        <v>1479</v>
      </c>
    </row>
    <row r="3" spans="1:5">
      <c r="A3" s="2" t="s">
        <v>1480</v>
      </c>
      <c r="B3" s="2" t="s">
        <v>1475</v>
      </c>
      <c r="C3" s="2" t="s">
        <v>1476</v>
      </c>
      <c r="D3" s="103">
        <v>46057.458668402774</v>
      </c>
      <c r="E3" t="s">
        <v>1475</v>
      </c>
    </row>
    <row r="4" spans="1:5">
      <c r="A4" s="2"/>
      <c r="B4" s="2"/>
      <c r="C4" s="2"/>
      <c r="D4" s="103"/>
      <c r="E4" t="s">
        <v>1478</v>
      </c>
    </row>
    <row r="5" spans="1:5">
      <c r="A5" s="2"/>
      <c r="B5" s="2"/>
      <c r="C5" s="2"/>
      <c r="D5" s="103"/>
      <c r="E5" t="s">
        <v>1477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/>
      <c r="D9" s="7"/>
    </row>
    <row r="10" spans="1:5">
      <c r="A10"/>
      <c r="B10"/>
      <c r="C10"/>
      <c r="D10" s="7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A20"/>
      <c r="B20"/>
      <c r="C20" s="7"/>
      <c r="D20"/>
    </row>
    <row r="21" spans="1:4">
      <c r="A21"/>
      <c r="B21"/>
      <c r="C21" s="7"/>
      <c r="D21"/>
    </row>
    <row r="22" spans="1:4">
      <c r="C22" s="5"/>
    </row>
    <row r="23" spans="1:4">
      <c r="C23" s="5"/>
    </row>
    <row r="24" spans="1:4">
      <c r="A24" s="2"/>
      <c r="B24" s="2"/>
      <c r="C24" s="3"/>
      <c r="D24" s="2"/>
    </row>
    <row r="25" spans="1:4">
      <c r="A25" s="2"/>
      <c r="B25" s="2"/>
      <c r="C25" s="3"/>
      <c r="D25" s="2"/>
    </row>
    <row r="26" spans="1:4">
      <c r="A26" s="2"/>
      <c r="B26" s="2"/>
      <c r="C26" s="3"/>
      <c r="D26" s="2"/>
    </row>
    <row r="27" spans="1:4">
      <c r="C27" s="5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2"/>
      <c r="C70" s="3"/>
      <c r="D70" s="2"/>
    </row>
    <row r="71" spans="1:4">
      <c r="A71" s="2"/>
      <c r="B71" s="2"/>
      <c r="C71" s="3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A92" s="2"/>
      <c r="B92" s="3"/>
      <c r="C92" s="2"/>
      <c r="D92" s="2"/>
    </row>
    <row r="93" spans="1:4">
      <c r="A93" s="2"/>
      <c r="B93" s="3"/>
      <c r="C93" s="2"/>
      <c r="D93" s="2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1" spans="2:2">
      <c r="B101" s="5"/>
    </row>
    <row r="102" spans="2:2">
      <c r="B102" s="5"/>
    </row>
    <row r="104" spans="2:2">
      <c r="B104" s="5"/>
    </row>
    <row r="105" spans="2:2">
      <c r="B105" s="5"/>
    </row>
    <row r="106" spans="2:2">
      <c r="B106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7" spans="2:2">
      <c r="B117" s="5"/>
    </row>
    <row r="118" spans="2:2">
      <c r="B118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2" spans="2:2">
      <c r="B132" s="5"/>
    </row>
    <row r="133" spans="2:2">
      <c r="B133" s="5"/>
    </row>
    <row r="135" spans="2:2">
      <c r="B135" s="6"/>
    </row>
  </sheetData>
  <sheetProtection formatCells="0" formatColumns="0" formatRows="0" insertColumns="0" insertRows="0" selectLockedCells="1"/>
  <protectedRanges>
    <protectedRange sqref="D83:D98 A83:B98 A99:D1048576 A2:D82" name="Range1"/>
  </protectedRanges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defaultColWidth="9.1796875" defaultRowHeight="14.5"/>
  <cols>
    <col min="1" max="1" width="9.1796875" style="8" customWidth="1"/>
    <col min="2" max="16384" width="9.1796875" style="8"/>
  </cols>
  <sheetData>
    <row r="1" spans="1:19">
      <c r="A1" s="15"/>
      <c r="G1" s="17"/>
      <c r="S1" s="1"/>
    </row>
    <row r="2" spans="1:19">
      <c r="A2" s="16"/>
      <c r="G2" s="1"/>
    </row>
    <row r="3" spans="1:19">
      <c r="G3" s="1"/>
    </row>
    <row r="12" spans="1:19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StartHere</vt:lpstr>
      <vt:lpstr>W1</vt:lpstr>
      <vt:lpstr>CommonErrors</vt:lpstr>
      <vt:lpstr>IC1</vt:lpstr>
      <vt:lpstr>peachtree_tenant_data</vt:lpstr>
      <vt:lpstr>ptd_data_dictionary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Halima Alausa</cp:lastModifiedBy>
  <dcterms:created xsi:type="dcterms:W3CDTF">2017-10-26T20:43:12Z</dcterms:created>
  <dcterms:modified xsi:type="dcterms:W3CDTF">2026-02-05T21:29:23Z</dcterms:modified>
  <cp:category/>
</cp:coreProperties>
</file>